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ntnu-my.sharepoint.com/personal/diegomb_ntnu_no/Documents/NTNU/Developments Hermes/HERMES LCA tool/Mendeley dataset/Preparation file/"/>
    </mc:Choice>
  </mc:AlternateContent>
  <xr:revisionPtr revIDLastSave="51" documentId="13_ncr:1_{9CD7EBA9-DAF5-4096-8376-EDD4493845A0}" xr6:coauthVersionLast="45" xr6:coauthVersionMax="45" xr10:uidLastSave="{68678FBC-B28A-410A-88B4-BE851B658583}"/>
  <bookViews>
    <workbookView xWindow="1010" yWindow="-110" windowWidth="18300" windowHeight="11020" tabRatio="837" xr2:uid="{4B90D171-A67A-4795-BE29-D8E83CE1B9CF}"/>
  </bookViews>
  <sheets>
    <sheet name="Leg" sheetId="2" r:id="rId1"/>
    <sheet name="RES" sheetId="21" r:id="rId2"/>
    <sheet name="1 PRD" sheetId="16" r:id="rId3"/>
    <sheet name="2 CUT" sheetId="1" r:id="rId4"/>
    <sheet name="2 FILL" sheetId="6" r:id="rId5"/>
    <sheet name="2 SBGR" sheetId="7" r:id="rId6"/>
    <sheet name="2 SBBS" sheetId="8" r:id="rId7"/>
    <sheet name="2 BASE" sheetId="9" r:id="rId8"/>
    <sheet name="2 BIND" sheetId="10" r:id="rId9"/>
    <sheet name="2 WEAR" sheetId="11" r:id="rId10"/>
    <sheet name="3 ROLL" sheetId="14" r:id="rId11"/>
    <sheet name="3 MNTN" sheetId="19" r:id="rId12"/>
    <sheet name="3 ALB" sheetId="13" r:id="rId13"/>
    <sheet name="3 LGT" sheetId="15" r:id="rId14"/>
    <sheet name="roll" sheetId="20" r:id="rId15"/>
    <sheet name="prms" sheetId="4" r:id="rId16"/>
  </sheets>
  <definedNames>
    <definedName name="_xlnm._FilterDatabase" localSheetId="2" hidden="1">prms!$B$5:$B$7</definedName>
    <definedName name="_xlnm._FilterDatabase" localSheetId="7" hidden="1">prms!$B$5:$B$7</definedName>
    <definedName name="_xlnm._FilterDatabase" localSheetId="8" hidden="1">prms!$B$5:$B$7</definedName>
    <definedName name="_xlnm._FilterDatabase" localSheetId="3" hidden="1">prms!$B$5:$B$7</definedName>
    <definedName name="_xlnm._FilterDatabase" localSheetId="4" hidden="1">prms!$B$5:$B$7</definedName>
    <definedName name="_xlnm._FilterDatabase" localSheetId="6" hidden="1">prms!$B$5:$B$7</definedName>
    <definedName name="_xlnm._FilterDatabase" localSheetId="5" hidden="1">prms!$B$5:$B$7</definedName>
    <definedName name="_xlnm._FilterDatabase" localSheetId="9" hidden="1">prms!$B$5:$B$7</definedName>
    <definedName name="_xlnm._FilterDatabase" localSheetId="12" hidden="1">prms!$B$5:$B$7</definedName>
    <definedName name="_xlnm._FilterDatabase" localSheetId="13" hidden="1">prms!$B$5:$B$7</definedName>
    <definedName name="_xlnm._FilterDatabase" localSheetId="11" hidden="1">prms!$B$5:$B$7</definedName>
    <definedName name="_xlnm._FilterDatabase" localSheetId="10" hidden="1">prms!$B$5:$B$7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4" l="1"/>
  <c r="AX6" i="4" l="1"/>
  <c r="AX5" i="4"/>
  <c r="F15" i="15"/>
  <c r="F17" i="15" s="1"/>
  <c r="F12" i="15"/>
  <c r="F10" i="15"/>
  <c r="F15" i="13"/>
  <c r="F17" i="13" s="1"/>
  <c r="F11" i="13"/>
  <c r="F127" i="19"/>
  <c r="F131" i="19" s="1"/>
  <c r="F126" i="19"/>
  <c r="F130" i="19" s="1"/>
  <c r="F125" i="19"/>
  <c r="F129" i="19" s="1"/>
  <c r="F86" i="19"/>
  <c r="I83" i="19"/>
  <c r="I82" i="19"/>
  <c r="F78" i="19"/>
  <c r="F134" i="19" s="1"/>
  <c r="I75" i="19"/>
  <c r="I74" i="19"/>
  <c r="F70" i="19"/>
  <c r="I67" i="19"/>
  <c r="I66" i="19"/>
  <c r="F60" i="19"/>
  <c r="F117" i="19" s="1"/>
  <c r="F118" i="19" s="1"/>
  <c r="F120" i="19" s="1"/>
  <c r="F121" i="19" s="1"/>
  <c r="I58" i="19"/>
  <c r="I57" i="19"/>
  <c r="F50" i="19"/>
  <c r="I44" i="19"/>
  <c r="I43" i="19"/>
  <c r="F37" i="19"/>
  <c r="I31" i="19"/>
  <c r="I30" i="19"/>
  <c r="F25" i="19"/>
  <c r="F90" i="19" s="1"/>
  <c r="F92" i="19" s="1"/>
  <c r="F93" i="19" s="1"/>
  <c r="I24" i="19"/>
  <c r="I23" i="19"/>
  <c r="F18" i="19"/>
  <c r="F16" i="19"/>
  <c r="F15" i="19"/>
  <c r="F49" i="19" s="1"/>
  <c r="F51" i="19" s="1"/>
  <c r="F107" i="19" s="1"/>
  <c r="F110" i="19" s="1"/>
  <c r="F112" i="19" s="1"/>
  <c r="F113" i="19" s="1"/>
  <c r="B6" i="20"/>
  <c r="G6" i="20" s="1"/>
  <c r="H5" i="20"/>
  <c r="G5" i="20"/>
  <c r="E5" i="20"/>
  <c r="C5" i="20"/>
  <c r="F40" i="14"/>
  <c r="F41" i="14" s="1"/>
  <c r="F42" i="14" s="1"/>
  <c r="F8" i="19" s="1"/>
  <c r="I24" i="14"/>
  <c r="F20" i="14"/>
  <c r="F17" i="14"/>
  <c r="F14" i="14"/>
  <c r="F17" i="16"/>
  <c r="F13" i="16"/>
  <c r="F9" i="16"/>
  <c r="F5" i="16"/>
  <c r="F106" i="11"/>
  <c r="F110" i="11" s="1"/>
  <c r="F105" i="11"/>
  <c r="F104" i="11"/>
  <c r="F75" i="11"/>
  <c r="I72" i="11"/>
  <c r="I71" i="11"/>
  <c r="F67" i="11"/>
  <c r="I64" i="11"/>
  <c r="I63" i="11"/>
  <c r="F59" i="11"/>
  <c r="I56" i="11"/>
  <c r="I55" i="11"/>
  <c r="F49" i="11"/>
  <c r="I47" i="11"/>
  <c r="I46" i="11"/>
  <c r="F39" i="11"/>
  <c r="I33" i="11"/>
  <c r="I32" i="11"/>
  <c r="F26" i="11"/>
  <c r="I20" i="11"/>
  <c r="I19" i="11"/>
  <c r="F14" i="11"/>
  <c r="F108" i="11" s="1"/>
  <c r="F112" i="11" s="1"/>
  <c r="F12" i="11"/>
  <c r="F11" i="11"/>
  <c r="F25" i="11" s="1"/>
  <c r="F106" i="10"/>
  <c r="F105" i="10"/>
  <c r="F109" i="10" s="1"/>
  <c r="F104" i="10"/>
  <c r="F108" i="10" s="1"/>
  <c r="F97" i="10"/>
  <c r="F99" i="10" s="1"/>
  <c r="F100" i="10" s="1"/>
  <c r="F96" i="10"/>
  <c r="F75" i="10"/>
  <c r="I72" i="10"/>
  <c r="I71" i="10"/>
  <c r="F67" i="10"/>
  <c r="I64" i="10"/>
  <c r="I63" i="10"/>
  <c r="F59" i="10"/>
  <c r="I56" i="10"/>
  <c r="I55" i="10"/>
  <c r="F49" i="10"/>
  <c r="I47" i="10"/>
  <c r="I46" i="10"/>
  <c r="F39" i="10"/>
  <c r="I33" i="10"/>
  <c r="I32" i="10"/>
  <c r="F26" i="10"/>
  <c r="I20" i="10"/>
  <c r="I19" i="10"/>
  <c r="F14" i="10"/>
  <c r="F110" i="10" s="1"/>
  <c r="F114" i="10" s="1"/>
  <c r="F12" i="10"/>
  <c r="F11" i="10"/>
  <c r="F89" i="9"/>
  <c r="F93" i="9" s="1"/>
  <c r="F97" i="9" s="1"/>
  <c r="F88" i="9"/>
  <c r="F92" i="9" s="1"/>
  <c r="F87" i="9"/>
  <c r="F91" i="9" s="1"/>
  <c r="F95" i="9" s="1"/>
  <c r="F66" i="9"/>
  <c r="I63" i="9"/>
  <c r="I62" i="9"/>
  <c r="F58" i="9"/>
  <c r="F96" i="9" s="1"/>
  <c r="I55" i="9"/>
  <c r="I54" i="9"/>
  <c r="F50" i="9"/>
  <c r="I47" i="9"/>
  <c r="I46" i="9"/>
  <c r="F39" i="9"/>
  <c r="I33" i="9"/>
  <c r="I32" i="9"/>
  <c r="F26" i="9"/>
  <c r="I20" i="9"/>
  <c r="I19" i="9"/>
  <c r="F14" i="9"/>
  <c r="F12" i="9"/>
  <c r="F25" i="9" s="1"/>
  <c r="F27" i="9" s="1"/>
  <c r="F11" i="9"/>
  <c r="F89" i="8"/>
  <c r="F93" i="8" s="1"/>
  <c r="F97" i="8" s="1"/>
  <c r="F88" i="8"/>
  <c r="F92" i="8" s="1"/>
  <c r="F87" i="8"/>
  <c r="F91" i="8" s="1"/>
  <c r="F95" i="8" s="1"/>
  <c r="F66" i="8"/>
  <c r="I63" i="8"/>
  <c r="I62" i="8"/>
  <c r="F58" i="8"/>
  <c r="F96" i="8" s="1"/>
  <c r="I55" i="8"/>
  <c r="I54" i="8"/>
  <c r="F50" i="8"/>
  <c r="I47" i="8"/>
  <c r="I46" i="8"/>
  <c r="F39" i="8"/>
  <c r="I33" i="8"/>
  <c r="I32" i="8"/>
  <c r="F26" i="8"/>
  <c r="I20" i="8"/>
  <c r="I19" i="8"/>
  <c r="F14" i="8"/>
  <c r="F12" i="8"/>
  <c r="F25" i="8" s="1"/>
  <c r="F27" i="8" s="1"/>
  <c r="F70" i="8" s="1"/>
  <c r="F72" i="8" s="1"/>
  <c r="F11" i="8"/>
  <c r="F18" i="16" s="1"/>
  <c r="F25" i="16" s="1"/>
  <c r="F66" i="7"/>
  <c r="F68" i="7" s="1"/>
  <c r="F69" i="7" s="1"/>
  <c r="F65" i="7"/>
  <c r="F43" i="7"/>
  <c r="I41" i="7"/>
  <c r="I40" i="7"/>
  <c r="F34" i="7"/>
  <c r="F57" i="7" s="1"/>
  <c r="F58" i="7" s="1"/>
  <c r="F60" i="7" s="1"/>
  <c r="F61" i="7" s="1"/>
  <c r="I32" i="7"/>
  <c r="I31" i="7"/>
  <c r="F24" i="7"/>
  <c r="I18" i="7"/>
  <c r="I17" i="7"/>
  <c r="F12" i="7"/>
  <c r="F23" i="7" s="1"/>
  <c r="F11" i="7"/>
  <c r="F146" i="6"/>
  <c r="F150" i="6" s="1"/>
  <c r="F143" i="6"/>
  <c r="F147" i="6" s="1"/>
  <c r="F151" i="6" s="1"/>
  <c r="F142" i="6"/>
  <c r="F141" i="6"/>
  <c r="F145" i="6" s="1"/>
  <c r="F124" i="6"/>
  <c r="F128" i="6" s="1"/>
  <c r="F123" i="6"/>
  <c r="F127" i="6" s="1"/>
  <c r="F122" i="6"/>
  <c r="F126" i="6" s="1"/>
  <c r="F118" i="6"/>
  <c r="I115" i="6"/>
  <c r="I114" i="6"/>
  <c r="F110" i="6"/>
  <c r="I107" i="6"/>
  <c r="I106" i="6"/>
  <c r="F102" i="6"/>
  <c r="F149" i="6" s="1"/>
  <c r="I99" i="6"/>
  <c r="I98" i="6"/>
  <c r="F91" i="6"/>
  <c r="I81" i="6"/>
  <c r="I80" i="6"/>
  <c r="F75" i="6"/>
  <c r="I65" i="6"/>
  <c r="I64" i="6"/>
  <c r="F59" i="6"/>
  <c r="I49" i="6"/>
  <c r="I48" i="6"/>
  <c r="F42" i="6"/>
  <c r="F40" i="6"/>
  <c r="F58" i="6" s="1"/>
  <c r="F39" i="6"/>
  <c r="F34" i="6"/>
  <c r="F73" i="6" s="1"/>
  <c r="F33" i="6"/>
  <c r="F28" i="6"/>
  <c r="F88" i="6" s="1"/>
  <c r="F27" i="6"/>
  <c r="F22" i="6"/>
  <c r="F87" i="6" s="1"/>
  <c r="F21" i="6"/>
  <c r="F16" i="6"/>
  <c r="F54" i="6" s="1"/>
  <c r="F15" i="6"/>
  <c r="F142" i="1"/>
  <c r="F140" i="1"/>
  <c r="F144" i="1" s="1"/>
  <c r="F139" i="1"/>
  <c r="F143" i="1" s="1"/>
  <c r="F147" i="1" s="1"/>
  <c r="F138" i="1"/>
  <c r="F125" i="1"/>
  <c r="F121" i="1"/>
  <c r="F120" i="1"/>
  <c r="F124" i="1" s="1"/>
  <c r="F119" i="1"/>
  <c r="F123" i="1" s="1"/>
  <c r="F115" i="1"/>
  <c r="I112" i="1"/>
  <c r="I111" i="1"/>
  <c r="F107" i="1"/>
  <c r="I104" i="1"/>
  <c r="I103" i="1"/>
  <c r="F99" i="1"/>
  <c r="F146" i="1" s="1"/>
  <c r="I96" i="1"/>
  <c r="I95" i="1"/>
  <c r="I78" i="1"/>
  <c r="I63" i="1"/>
  <c r="I48" i="1"/>
  <c r="F42" i="1"/>
  <c r="F40" i="1"/>
  <c r="F39" i="1"/>
  <c r="F57" i="1" s="1"/>
  <c r="F34" i="1"/>
  <c r="F33" i="1"/>
  <c r="F56" i="1" s="1"/>
  <c r="F28" i="1"/>
  <c r="F27" i="1"/>
  <c r="F85" i="1" s="1"/>
  <c r="F22" i="1"/>
  <c r="F21" i="1"/>
  <c r="F69" i="1" s="1"/>
  <c r="F16" i="1"/>
  <c r="F15" i="1"/>
  <c r="F53" i="1" s="1"/>
  <c r="F112" i="10" l="1"/>
  <c r="F153" i="6"/>
  <c r="F155" i="6" s="1"/>
  <c r="F156" i="6" s="1"/>
  <c r="F99" i="8"/>
  <c r="F101" i="8" s="1"/>
  <c r="F102" i="8" s="1"/>
  <c r="F148" i="1"/>
  <c r="F150" i="1" s="1"/>
  <c r="F152" i="1" s="1"/>
  <c r="F153" i="1" s="1"/>
  <c r="F99" i="9"/>
  <c r="F101" i="9" s="1"/>
  <c r="F102" i="9" s="1"/>
  <c r="F113" i="10"/>
  <c r="F25" i="7"/>
  <c r="F47" i="7" s="1"/>
  <c r="F50" i="7" s="1"/>
  <c r="F52" i="7" s="1"/>
  <c r="F5" i="20"/>
  <c r="R5" i="20"/>
  <c r="S5" i="20" s="1"/>
  <c r="T5" i="20" s="1"/>
  <c r="V5" i="20"/>
  <c r="W5" i="20" s="1"/>
  <c r="X5" i="20" s="1"/>
  <c r="J5" i="20"/>
  <c r="K5" i="20" s="1"/>
  <c r="N5" i="20"/>
  <c r="O5" i="20" s="1"/>
  <c r="F14" i="16"/>
  <c r="F24" i="16" s="1"/>
  <c r="F38" i="9"/>
  <c r="F40" i="9" s="1"/>
  <c r="F77" i="9" s="1"/>
  <c r="F80" i="9" s="1"/>
  <c r="F82" i="9" s="1"/>
  <c r="F83" i="9" s="1"/>
  <c r="F10" i="16"/>
  <c r="F23" i="16" s="1"/>
  <c r="F96" i="11"/>
  <c r="F97" i="11" s="1"/>
  <c r="F99" i="11" s="1"/>
  <c r="F100" i="11" s="1"/>
  <c r="F43" i="14"/>
  <c r="F44" i="14" s="1"/>
  <c r="E6" i="20"/>
  <c r="B7" i="20"/>
  <c r="C6" i="20"/>
  <c r="F38" i="8"/>
  <c r="F40" i="8" s="1"/>
  <c r="F77" i="8" s="1"/>
  <c r="F80" i="8" s="1"/>
  <c r="F82" i="8" s="1"/>
  <c r="F83" i="8" s="1"/>
  <c r="F70" i="9"/>
  <c r="F72" i="9" s="1"/>
  <c r="F27" i="11"/>
  <c r="F79" i="11" s="1"/>
  <c r="F81" i="11" s="1"/>
  <c r="F114" i="11"/>
  <c r="F109" i="11"/>
  <c r="F113" i="11" s="1"/>
  <c r="F116" i="11" s="1"/>
  <c r="F118" i="11" s="1"/>
  <c r="F6" i="20"/>
  <c r="L5" i="20"/>
  <c r="H6" i="20"/>
  <c r="G7" i="20"/>
  <c r="H7" i="20"/>
  <c r="F135" i="19"/>
  <c r="F133" i="19"/>
  <c r="F21" i="13"/>
  <c r="F22" i="13" s="1"/>
  <c r="C20" i="21" s="1"/>
  <c r="F21" i="15"/>
  <c r="F22" i="15" s="1"/>
  <c r="C19" i="21" s="1"/>
  <c r="F90" i="6"/>
  <c r="F56" i="6"/>
  <c r="F68" i="1"/>
  <c r="F87" i="1"/>
  <c r="F55" i="1"/>
  <c r="F83" i="1"/>
  <c r="F72" i="1"/>
  <c r="F73" i="8"/>
  <c r="F53" i="7"/>
  <c r="F73" i="7"/>
  <c r="F74" i="7" s="1"/>
  <c r="C10" i="21" s="1"/>
  <c r="F106" i="9"/>
  <c r="F107" i="9" s="1"/>
  <c r="C12" i="21" s="1"/>
  <c r="F73" i="9"/>
  <c r="F82" i="11"/>
  <c r="F54" i="1"/>
  <c r="F70" i="1"/>
  <c r="F86" i="1"/>
  <c r="F55" i="6"/>
  <c r="F60" i="6" s="1"/>
  <c r="F130" i="6" s="1"/>
  <c r="F70" i="6"/>
  <c r="F74" i="6"/>
  <c r="F89" i="6"/>
  <c r="F38" i="11"/>
  <c r="F40" i="11" s="1"/>
  <c r="F86" i="11" s="1"/>
  <c r="F89" i="11" s="1"/>
  <c r="F91" i="11" s="1"/>
  <c r="F92" i="11" s="1"/>
  <c r="F6" i="16"/>
  <c r="F22" i="16" s="1"/>
  <c r="F27" i="16" s="1"/>
  <c r="F28" i="16" s="1"/>
  <c r="C5" i="21" s="1"/>
  <c r="F71" i="6"/>
  <c r="F86" i="6"/>
  <c r="F92" i="6" s="1"/>
  <c r="F132" i="6" s="1"/>
  <c r="F25" i="10"/>
  <c r="F27" i="10" s="1"/>
  <c r="F79" i="10" s="1"/>
  <c r="F81" i="10" s="1"/>
  <c r="F36" i="19"/>
  <c r="F38" i="19" s="1"/>
  <c r="F97" i="19" s="1"/>
  <c r="F100" i="19" s="1"/>
  <c r="F102" i="19" s="1"/>
  <c r="F71" i="1"/>
  <c r="F57" i="6"/>
  <c r="F72" i="6"/>
  <c r="F38" i="10"/>
  <c r="F40" i="10" s="1"/>
  <c r="F86" i="10" s="1"/>
  <c r="F89" i="10" s="1"/>
  <c r="F91" i="10" s="1"/>
  <c r="F92" i="10" s="1"/>
  <c r="F84" i="1"/>
  <c r="V6" i="20" l="1"/>
  <c r="W6" i="20" s="1"/>
  <c r="J6" i="20"/>
  <c r="K6" i="20" s="1"/>
  <c r="L6" i="20" s="1"/>
  <c r="R6" i="20"/>
  <c r="S6" i="20" s="1"/>
  <c r="T6" i="20" s="1"/>
  <c r="N6" i="20"/>
  <c r="O6" i="20" s="1"/>
  <c r="F137" i="19"/>
  <c r="F139" i="19" s="1"/>
  <c r="B8" i="20"/>
  <c r="C7" i="20"/>
  <c r="E7" i="20"/>
  <c r="X6" i="20"/>
  <c r="F106" i="8"/>
  <c r="F107" i="8" s="1"/>
  <c r="C11" i="21" s="1"/>
  <c r="P6" i="20"/>
  <c r="F116" i="10"/>
  <c r="F118" i="10" s="1"/>
  <c r="F119" i="10" s="1"/>
  <c r="P5" i="20"/>
  <c r="F7" i="20"/>
  <c r="F74" i="1"/>
  <c r="F128" i="1" s="1"/>
  <c r="F59" i="1"/>
  <c r="F127" i="1" s="1"/>
  <c r="F89" i="1"/>
  <c r="F129" i="1" s="1"/>
  <c r="F103" i="19"/>
  <c r="F122" i="11"/>
  <c r="F123" i="11" s="1"/>
  <c r="C14" i="21" s="1"/>
  <c r="F82" i="10"/>
  <c r="F76" i="6"/>
  <c r="F131" i="6" s="1"/>
  <c r="F134" i="6" s="1"/>
  <c r="F136" i="6" s="1"/>
  <c r="F160" i="6" s="1"/>
  <c r="P7" i="20" l="1"/>
  <c r="F140" i="19"/>
  <c r="F145" i="19" s="1"/>
  <c r="F146" i="19" s="1"/>
  <c r="C18" i="21" s="1"/>
  <c r="F141" i="19"/>
  <c r="F123" i="10"/>
  <c r="F124" i="10" s="1"/>
  <c r="C13" i="21" s="1"/>
  <c r="N7" i="20"/>
  <c r="O7" i="20" s="1"/>
  <c r="V7" i="20"/>
  <c r="W7" i="20" s="1"/>
  <c r="X7" i="20" s="1"/>
  <c r="J7" i="20"/>
  <c r="K7" i="20" s="1"/>
  <c r="L7" i="20" s="1"/>
  <c r="R7" i="20"/>
  <c r="S7" i="20" s="1"/>
  <c r="T7" i="20" s="1"/>
  <c r="B9" i="20"/>
  <c r="C8" i="20"/>
  <c r="H8" i="20"/>
  <c r="E8" i="20"/>
  <c r="G8" i="20"/>
  <c r="F8" i="20"/>
  <c r="F131" i="1"/>
  <c r="F133" i="1" s="1"/>
  <c r="F161" i="6"/>
  <c r="C9" i="21" s="1"/>
  <c r="F137" i="6"/>
  <c r="N8" i="20" l="1"/>
  <c r="O8" i="20" s="1"/>
  <c r="P8" i="20" s="1"/>
  <c r="R8" i="20"/>
  <c r="S8" i="20" s="1"/>
  <c r="T8" i="20" s="1"/>
  <c r="V8" i="20"/>
  <c r="W8" i="20" s="1"/>
  <c r="X8" i="20" s="1"/>
  <c r="J8" i="20"/>
  <c r="K8" i="20" s="1"/>
  <c r="L8" i="20" s="1"/>
  <c r="E9" i="20"/>
  <c r="H9" i="20"/>
  <c r="G9" i="20"/>
  <c r="B10" i="20"/>
  <c r="C9" i="20"/>
  <c r="F9" i="20"/>
  <c r="F134" i="1"/>
  <c r="F157" i="1"/>
  <c r="F158" i="1" s="1"/>
  <c r="C8" i="21" s="1"/>
  <c r="C15" i="21" s="1"/>
  <c r="E10" i="20" l="1"/>
  <c r="B11" i="20"/>
  <c r="C10" i="20"/>
  <c r="G10" i="20"/>
  <c r="F10" i="20"/>
  <c r="H10" i="20"/>
  <c r="R9" i="20"/>
  <c r="S9" i="20" s="1"/>
  <c r="T9" i="20" s="1"/>
  <c r="V9" i="20"/>
  <c r="W9" i="20" s="1"/>
  <c r="X9" i="20" s="1"/>
  <c r="J9" i="20"/>
  <c r="K9" i="20" s="1"/>
  <c r="L9" i="20" s="1"/>
  <c r="N9" i="20"/>
  <c r="O9" i="20" s="1"/>
  <c r="P9" i="20"/>
  <c r="V10" i="20" l="1"/>
  <c r="W10" i="20" s="1"/>
  <c r="J10" i="20"/>
  <c r="K10" i="20" s="1"/>
  <c r="L10" i="20" s="1"/>
  <c r="R10" i="20"/>
  <c r="S10" i="20" s="1"/>
  <c r="T10" i="20" s="1"/>
  <c r="N10" i="20"/>
  <c r="O10" i="20" s="1"/>
  <c r="P10" i="20" s="1"/>
  <c r="X10" i="20"/>
  <c r="B12" i="20"/>
  <c r="C11" i="20"/>
  <c r="E11" i="20"/>
  <c r="F11" i="20"/>
  <c r="H11" i="20"/>
  <c r="G11" i="20"/>
  <c r="N11" i="20" l="1"/>
  <c r="O11" i="20" s="1"/>
  <c r="P11" i="20" s="1"/>
  <c r="R11" i="20"/>
  <c r="S11" i="20" s="1"/>
  <c r="T11" i="20" s="1"/>
  <c r="J11" i="20"/>
  <c r="K11" i="20" s="1"/>
  <c r="L11" i="20" s="1"/>
  <c r="V11" i="20"/>
  <c r="W11" i="20" s="1"/>
  <c r="X11" i="20"/>
  <c r="E12" i="20"/>
  <c r="B13" i="20"/>
  <c r="C12" i="20"/>
  <c r="H12" i="20"/>
  <c r="G12" i="20"/>
  <c r="F12" i="20"/>
  <c r="N12" i="20" l="1"/>
  <c r="O12" i="20" s="1"/>
  <c r="R12" i="20"/>
  <c r="S12" i="20" s="1"/>
  <c r="V12" i="20"/>
  <c r="W12" i="20" s="1"/>
  <c r="X12" i="20" s="1"/>
  <c r="J12" i="20"/>
  <c r="K12" i="20" s="1"/>
  <c r="L12" i="20" s="1"/>
  <c r="P12" i="20"/>
  <c r="E13" i="20"/>
  <c r="B14" i="20"/>
  <c r="H13" i="20"/>
  <c r="C13" i="20"/>
  <c r="G13" i="20"/>
  <c r="F13" i="20"/>
  <c r="T12" i="20"/>
  <c r="R13" i="20" l="1"/>
  <c r="S13" i="20" s="1"/>
  <c r="V13" i="20"/>
  <c r="W13" i="20" s="1"/>
  <c r="X13" i="20" s="1"/>
  <c r="J13" i="20"/>
  <c r="K13" i="20" s="1"/>
  <c r="L13" i="20" s="1"/>
  <c r="N13" i="20"/>
  <c r="O13" i="20" s="1"/>
  <c r="P13" i="20" s="1"/>
  <c r="E14" i="20"/>
  <c r="B15" i="20"/>
  <c r="C14" i="20"/>
  <c r="G14" i="20"/>
  <c r="F14" i="20"/>
  <c r="H14" i="20"/>
  <c r="T13" i="20"/>
  <c r="B16" i="20" l="1"/>
  <c r="C15" i="20"/>
  <c r="E15" i="20"/>
  <c r="G15" i="20"/>
  <c r="H15" i="20"/>
  <c r="F15" i="20"/>
  <c r="T14" i="20"/>
  <c r="P14" i="20"/>
  <c r="V14" i="20"/>
  <c r="W14" i="20" s="1"/>
  <c r="X14" i="20" s="1"/>
  <c r="J14" i="20"/>
  <c r="K14" i="20" s="1"/>
  <c r="L14" i="20" s="1"/>
  <c r="N14" i="20"/>
  <c r="O14" i="20" s="1"/>
  <c r="R14" i="20"/>
  <c r="S14" i="20" s="1"/>
  <c r="N15" i="20" l="1"/>
  <c r="O15" i="20" s="1"/>
  <c r="P15" i="20" s="1"/>
  <c r="R15" i="20"/>
  <c r="S15" i="20" s="1"/>
  <c r="T15" i="20" s="1"/>
  <c r="V15" i="20"/>
  <c r="W15" i="20" s="1"/>
  <c r="J15" i="20"/>
  <c r="K15" i="20" s="1"/>
  <c r="L15" i="20" s="1"/>
  <c r="X15" i="20"/>
  <c r="E16" i="20"/>
  <c r="H16" i="20"/>
  <c r="B17" i="20"/>
  <c r="C16" i="20"/>
  <c r="F16" i="20"/>
  <c r="G16" i="20"/>
  <c r="N16" i="20" l="1"/>
  <c r="O16" i="20" s="1"/>
  <c r="P16" i="20" s="1"/>
  <c r="R16" i="20"/>
  <c r="S16" i="20" s="1"/>
  <c r="T16" i="20" s="1"/>
  <c r="V16" i="20"/>
  <c r="W16" i="20" s="1"/>
  <c r="X16" i="20" s="1"/>
  <c r="J16" i="20"/>
  <c r="K16" i="20" s="1"/>
  <c r="E17" i="20"/>
  <c r="B18" i="20"/>
  <c r="C17" i="20"/>
  <c r="G17" i="20"/>
  <c r="F17" i="20"/>
  <c r="H17" i="20"/>
  <c r="L16" i="20"/>
  <c r="E18" i="20" l="1"/>
  <c r="B19" i="20"/>
  <c r="C18" i="20"/>
  <c r="F18" i="20"/>
  <c r="H18" i="20"/>
  <c r="G18" i="20"/>
  <c r="R17" i="20"/>
  <c r="S17" i="20" s="1"/>
  <c r="T17" i="20" s="1"/>
  <c r="V17" i="20"/>
  <c r="W17" i="20" s="1"/>
  <c r="J17" i="20"/>
  <c r="K17" i="20" s="1"/>
  <c r="N17" i="20"/>
  <c r="O17" i="20" s="1"/>
  <c r="P17" i="20" s="1"/>
  <c r="X17" i="20"/>
  <c r="L17" i="20"/>
  <c r="V18" i="20" l="1"/>
  <c r="W18" i="20" s="1"/>
  <c r="X18" i="20" s="1"/>
  <c r="J18" i="20"/>
  <c r="K18" i="20" s="1"/>
  <c r="L18" i="20" s="1"/>
  <c r="N18" i="20"/>
  <c r="O18" i="20" s="1"/>
  <c r="P18" i="20" s="1"/>
  <c r="R18" i="20"/>
  <c r="S18" i="20" s="1"/>
  <c r="T18" i="20"/>
  <c r="B20" i="20"/>
  <c r="C19" i="20"/>
  <c r="E19" i="20"/>
  <c r="H19" i="20"/>
  <c r="F19" i="20"/>
  <c r="G19" i="20"/>
  <c r="N19" i="20" l="1"/>
  <c r="O19" i="20" s="1"/>
  <c r="R19" i="20"/>
  <c r="S19" i="20" s="1"/>
  <c r="T19" i="20" s="1"/>
  <c r="J19" i="20"/>
  <c r="K19" i="20" s="1"/>
  <c r="L19" i="20" s="1"/>
  <c r="V19" i="20"/>
  <c r="W19" i="20" s="1"/>
  <c r="P19" i="20"/>
  <c r="E20" i="20"/>
  <c r="H20" i="20"/>
  <c r="B21" i="20"/>
  <c r="C20" i="20"/>
  <c r="F20" i="20"/>
  <c r="G20" i="20"/>
  <c r="X19" i="20"/>
  <c r="P20" i="20" l="1"/>
  <c r="N20" i="20"/>
  <c r="O20" i="20" s="1"/>
  <c r="R20" i="20"/>
  <c r="S20" i="20" s="1"/>
  <c r="T20" i="20" s="1"/>
  <c r="V20" i="20"/>
  <c r="W20" i="20" s="1"/>
  <c r="X20" i="20" s="1"/>
  <c r="J20" i="20"/>
  <c r="K20" i="20" s="1"/>
  <c r="L20" i="20" s="1"/>
  <c r="E21" i="20"/>
  <c r="B22" i="20"/>
  <c r="C21" i="20"/>
  <c r="G21" i="20"/>
  <c r="F21" i="20"/>
  <c r="H21" i="20"/>
  <c r="E22" i="20" l="1"/>
  <c r="B23" i="20"/>
  <c r="C22" i="20"/>
  <c r="F22" i="20"/>
  <c r="G22" i="20"/>
  <c r="H22" i="20"/>
  <c r="R21" i="20"/>
  <c r="S21" i="20" s="1"/>
  <c r="T21" i="20" s="1"/>
  <c r="V21" i="20"/>
  <c r="W21" i="20" s="1"/>
  <c r="J21" i="20"/>
  <c r="K21" i="20" s="1"/>
  <c r="N21" i="20"/>
  <c r="O21" i="20" s="1"/>
  <c r="P21" i="20" s="1"/>
  <c r="X21" i="20"/>
  <c r="L21" i="20"/>
  <c r="B24" i="20" l="1"/>
  <c r="C23" i="20"/>
  <c r="E23" i="20"/>
  <c r="G23" i="20"/>
  <c r="F23" i="20"/>
  <c r="H23" i="20"/>
  <c r="P22" i="20"/>
  <c r="V22" i="20"/>
  <c r="W22" i="20" s="1"/>
  <c r="X22" i="20" s="1"/>
  <c r="J22" i="20"/>
  <c r="K22" i="20" s="1"/>
  <c r="N22" i="20"/>
  <c r="O22" i="20" s="1"/>
  <c r="R22" i="20"/>
  <c r="S22" i="20" s="1"/>
  <c r="T22" i="20" s="1"/>
  <c r="L22" i="20"/>
  <c r="X23" i="20" l="1"/>
  <c r="P23" i="20"/>
  <c r="E24" i="20"/>
  <c r="H24" i="20"/>
  <c r="B25" i="20"/>
  <c r="C24" i="20"/>
  <c r="G24" i="20"/>
  <c r="F24" i="20"/>
  <c r="N23" i="20"/>
  <c r="O23" i="20" s="1"/>
  <c r="R23" i="20"/>
  <c r="S23" i="20" s="1"/>
  <c r="T23" i="20" s="1"/>
  <c r="J23" i="20"/>
  <c r="K23" i="20" s="1"/>
  <c r="L23" i="20" s="1"/>
  <c r="V23" i="20"/>
  <c r="W23" i="20" s="1"/>
  <c r="N24" i="20" l="1"/>
  <c r="O24" i="20" s="1"/>
  <c r="R24" i="20"/>
  <c r="S24" i="20" s="1"/>
  <c r="T24" i="20" s="1"/>
  <c r="V24" i="20"/>
  <c r="W24" i="20" s="1"/>
  <c r="J24" i="20"/>
  <c r="K24" i="20" s="1"/>
  <c r="L24" i="20" s="1"/>
  <c r="E25" i="20"/>
  <c r="C25" i="20"/>
  <c r="G25" i="20"/>
  <c r="B26" i="20"/>
  <c r="H25" i="20"/>
  <c r="F25" i="20"/>
  <c r="P24" i="20"/>
  <c r="X24" i="20"/>
  <c r="R25" i="20" l="1"/>
  <c r="S25" i="20" s="1"/>
  <c r="V25" i="20"/>
  <c r="W25" i="20" s="1"/>
  <c r="J25" i="20"/>
  <c r="K25" i="20" s="1"/>
  <c r="L25" i="20" s="1"/>
  <c r="N25" i="20"/>
  <c r="O25" i="20" s="1"/>
  <c r="P25" i="20" s="1"/>
  <c r="X25" i="20"/>
  <c r="E26" i="20"/>
  <c r="B27" i="20"/>
  <c r="C26" i="20"/>
  <c r="H26" i="20"/>
  <c r="G26" i="20"/>
  <c r="F26" i="20"/>
  <c r="T25" i="20"/>
  <c r="R26" i="20" l="1"/>
  <c r="S26" i="20" s="1"/>
  <c r="T26" i="20" s="1"/>
  <c r="V26" i="20"/>
  <c r="W26" i="20" s="1"/>
  <c r="X26" i="20" s="1"/>
  <c r="J26" i="20"/>
  <c r="K26" i="20" s="1"/>
  <c r="N26" i="20"/>
  <c r="O26" i="20" s="1"/>
  <c r="L26" i="20"/>
  <c r="P26" i="20"/>
  <c r="E27" i="20"/>
  <c r="B28" i="20"/>
  <c r="C27" i="20"/>
  <c r="H27" i="20"/>
  <c r="G27" i="20"/>
  <c r="F27" i="20"/>
  <c r="B29" i="20" l="1"/>
  <c r="C28" i="20"/>
  <c r="E28" i="20"/>
  <c r="H28" i="20"/>
  <c r="F28" i="20"/>
  <c r="G28" i="20"/>
  <c r="X27" i="20"/>
  <c r="V27" i="20"/>
  <c r="W27" i="20" s="1"/>
  <c r="J27" i="20"/>
  <c r="K27" i="20" s="1"/>
  <c r="R27" i="20"/>
  <c r="S27" i="20" s="1"/>
  <c r="T27" i="20" s="1"/>
  <c r="N27" i="20"/>
  <c r="O27" i="20" s="1"/>
  <c r="P27" i="20" s="1"/>
  <c r="L27" i="20"/>
  <c r="P28" i="20" l="1"/>
  <c r="E29" i="20"/>
  <c r="B30" i="20"/>
  <c r="C29" i="20"/>
  <c r="G29" i="20"/>
  <c r="H29" i="20"/>
  <c r="F29" i="20"/>
  <c r="N28" i="20"/>
  <c r="O28" i="20" s="1"/>
  <c r="R28" i="20"/>
  <c r="S28" i="20" s="1"/>
  <c r="T28" i="20" s="1"/>
  <c r="J28" i="20"/>
  <c r="K28" i="20" s="1"/>
  <c r="L28" i="20" s="1"/>
  <c r="V28" i="20"/>
  <c r="W28" i="20" s="1"/>
  <c r="X28" i="20"/>
  <c r="N29" i="20" l="1"/>
  <c r="O29" i="20" s="1"/>
  <c r="R29" i="20"/>
  <c r="S29" i="20" s="1"/>
  <c r="T29" i="20" s="1"/>
  <c r="V29" i="20"/>
  <c r="W29" i="20" s="1"/>
  <c r="X29" i="20" s="1"/>
  <c r="J29" i="20"/>
  <c r="K29" i="20" s="1"/>
  <c r="L29" i="20"/>
  <c r="P29" i="20"/>
  <c r="E30" i="20"/>
  <c r="B31" i="20"/>
  <c r="C30" i="20"/>
  <c r="H30" i="20"/>
  <c r="G30" i="20"/>
  <c r="F30" i="20"/>
  <c r="E31" i="20" l="1"/>
  <c r="B32" i="20"/>
  <c r="C31" i="20"/>
  <c r="H31" i="20"/>
  <c r="G31" i="20"/>
  <c r="F31" i="20"/>
  <c r="R30" i="20"/>
  <c r="S30" i="20" s="1"/>
  <c r="V30" i="20"/>
  <c r="W30" i="20" s="1"/>
  <c r="X30" i="20" s="1"/>
  <c r="J30" i="20"/>
  <c r="K30" i="20" s="1"/>
  <c r="L30" i="20" s="1"/>
  <c r="N30" i="20"/>
  <c r="O30" i="20" s="1"/>
  <c r="P30" i="20" s="1"/>
  <c r="T30" i="20"/>
  <c r="B33" i="20" l="1"/>
  <c r="C32" i="20"/>
  <c r="E32" i="20"/>
  <c r="F32" i="20"/>
  <c r="G32" i="20"/>
  <c r="H32" i="20"/>
  <c r="T31" i="20"/>
  <c r="V31" i="20"/>
  <c r="W31" i="20" s="1"/>
  <c r="X31" i="20" s="1"/>
  <c r="J31" i="20"/>
  <c r="K31" i="20" s="1"/>
  <c r="L31" i="20" s="1"/>
  <c r="N31" i="20"/>
  <c r="O31" i="20" s="1"/>
  <c r="P31" i="20" s="1"/>
  <c r="R31" i="20"/>
  <c r="S31" i="20" s="1"/>
  <c r="N32" i="20" l="1"/>
  <c r="O32" i="20" s="1"/>
  <c r="R32" i="20"/>
  <c r="S32" i="20" s="1"/>
  <c r="V32" i="20"/>
  <c r="W32" i="20" s="1"/>
  <c r="X32" i="20" s="1"/>
  <c r="J32" i="20"/>
  <c r="K32" i="20" s="1"/>
  <c r="L32" i="20"/>
  <c r="T32" i="20"/>
  <c r="E33" i="20"/>
  <c r="B34" i="20"/>
  <c r="C33" i="20"/>
  <c r="H33" i="20"/>
  <c r="F33" i="20"/>
  <c r="G33" i="20"/>
  <c r="P32" i="20"/>
  <c r="N33" i="20" l="1"/>
  <c r="O33" i="20" s="1"/>
  <c r="P33" i="20" s="1"/>
  <c r="R33" i="20"/>
  <c r="S33" i="20" s="1"/>
  <c r="V33" i="20"/>
  <c r="W33" i="20" s="1"/>
  <c r="X33" i="20" s="1"/>
  <c r="J33" i="20"/>
  <c r="K33" i="20" s="1"/>
  <c r="L33" i="20" s="1"/>
  <c r="T33" i="20"/>
  <c r="E34" i="20"/>
  <c r="B35" i="20"/>
  <c r="C34" i="20"/>
  <c r="G34" i="20"/>
  <c r="H34" i="20"/>
  <c r="F34" i="20"/>
  <c r="E35" i="20" l="1"/>
  <c r="B36" i="20"/>
  <c r="C35" i="20"/>
  <c r="G35" i="20"/>
  <c r="F35" i="20"/>
  <c r="H35" i="20"/>
  <c r="R34" i="20"/>
  <c r="S34" i="20" s="1"/>
  <c r="T34" i="20" s="1"/>
  <c r="V34" i="20"/>
  <c r="W34" i="20" s="1"/>
  <c r="J34" i="20"/>
  <c r="K34" i="20" s="1"/>
  <c r="L34" i="20" s="1"/>
  <c r="N34" i="20"/>
  <c r="O34" i="20" s="1"/>
  <c r="P34" i="20" s="1"/>
  <c r="X34" i="20"/>
  <c r="C36" i="20" l="1"/>
  <c r="B37" i="20"/>
  <c r="E36" i="20"/>
  <c r="H36" i="20"/>
  <c r="G36" i="20"/>
  <c r="F36" i="20"/>
  <c r="P35" i="20"/>
  <c r="V35" i="20"/>
  <c r="W35" i="20" s="1"/>
  <c r="X35" i="20" s="1"/>
  <c r="J35" i="20"/>
  <c r="K35" i="20" s="1"/>
  <c r="L35" i="20" s="1"/>
  <c r="N35" i="20"/>
  <c r="O35" i="20" s="1"/>
  <c r="R35" i="20"/>
  <c r="S35" i="20" s="1"/>
  <c r="T35" i="20" s="1"/>
  <c r="E37" i="20" l="1"/>
  <c r="B38" i="20"/>
  <c r="C37" i="20"/>
  <c r="F37" i="20"/>
  <c r="G37" i="20"/>
  <c r="H37" i="20"/>
  <c r="R36" i="20"/>
  <c r="S36" i="20" s="1"/>
  <c r="T36" i="20" s="1"/>
  <c r="V36" i="20"/>
  <c r="W36" i="20" s="1"/>
  <c r="X36" i="20" s="1"/>
  <c r="N36" i="20"/>
  <c r="O36" i="20" s="1"/>
  <c r="P36" i="20" s="1"/>
  <c r="J36" i="20"/>
  <c r="K36" i="20" s="1"/>
  <c r="L36" i="20" s="1"/>
  <c r="B39" i="20" l="1"/>
  <c r="C38" i="20"/>
  <c r="E38" i="20"/>
  <c r="F38" i="20"/>
  <c r="H38" i="20"/>
  <c r="G38" i="20"/>
  <c r="V37" i="20"/>
  <c r="W37" i="20" s="1"/>
  <c r="X37" i="20" s="1"/>
  <c r="J37" i="20"/>
  <c r="K37" i="20" s="1"/>
  <c r="L37" i="20" s="1"/>
  <c r="R37" i="20"/>
  <c r="S37" i="20" s="1"/>
  <c r="T37" i="20" s="1"/>
  <c r="N37" i="20"/>
  <c r="O37" i="20" s="1"/>
  <c r="P37" i="20" s="1"/>
  <c r="E39" i="20" l="1"/>
  <c r="B40" i="20"/>
  <c r="C39" i="20"/>
  <c r="H39" i="20"/>
  <c r="F39" i="20"/>
  <c r="G39" i="20"/>
  <c r="L38" i="20"/>
  <c r="N38" i="20"/>
  <c r="O38" i="20" s="1"/>
  <c r="P38" i="20" s="1"/>
  <c r="V38" i="20"/>
  <c r="W38" i="20" s="1"/>
  <c r="X38" i="20" s="1"/>
  <c r="J38" i="20"/>
  <c r="K38" i="20" s="1"/>
  <c r="R38" i="20"/>
  <c r="S38" i="20" s="1"/>
  <c r="T38" i="20" s="1"/>
  <c r="E40" i="20" l="1"/>
  <c r="B41" i="20"/>
  <c r="C40" i="20"/>
  <c r="H40" i="20"/>
  <c r="F40" i="20"/>
  <c r="G40" i="20"/>
  <c r="X39" i="20"/>
  <c r="N39" i="20"/>
  <c r="O39" i="20" s="1"/>
  <c r="R39" i="20"/>
  <c r="S39" i="20" s="1"/>
  <c r="T39" i="20" s="1"/>
  <c r="V39" i="20"/>
  <c r="W39" i="20" s="1"/>
  <c r="J39" i="20"/>
  <c r="K39" i="20" s="1"/>
  <c r="L39" i="20" s="1"/>
  <c r="P39" i="20"/>
  <c r="R40" i="20" l="1"/>
  <c r="S40" i="20" s="1"/>
  <c r="V40" i="20"/>
  <c r="W40" i="20" s="1"/>
  <c r="J40" i="20"/>
  <c r="K40" i="20" s="1"/>
  <c r="L40" i="20" s="1"/>
  <c r="N40" i="20"/>
  <c r="O40" i="20" s="1"/>
  <c r="P40" i="20" s="1"/>
  <c r="T40" i="20"/>
  <c r="E41" i="20"/>
  <c r="B42" i="20"/>
  <c r="C41" i="20"/>
  <c r="G41" i="20"/>
  <c r="F41" i="20"/>
  <c r="H41" i="20"/>
  <c r="X40" i="20"/>
  <c r="B43" i="20" l="1"/>
  <c r="C42" i="20"/>
  <c r="E42" i="20"/>
  <c r="H42" i="20"/>
  <c r="F42" i="20"/>
  <c r="G42" i="20"/>
  <c r="T41" i="20"/>
  <c r="V41" i="20"/>
  <c r="W41" i="20" s="1"/>
  <c r="X41" i="20" s="1"/>
  <c r="J41" i="20"/>
  <c r="K41" i="20" s="1"/>
  <c r="L41" i="20" s="1"/>
  <c r="R41" i="20"/>
  <c r="S41" i="20" s="1"/>
  <c r="N41" i="20"/>
  <c r="O41" i="20" s="1"/>
  <c r="P41" i="20" s="1"/>
  <c r="N42" i="20" l="1"/>
  <c r="O42" i="20" s="1"/>
  <c r="V42" i="20"/>
  <c r="W42" i="20" s="1"/>
  <c r="X42" i="20" s="1"/>
  <c r="J42" i="20"/>
  <c r="K42" i="20" s="1"/>
  <c r="L42" i="20" s="1"/>
  <c r="R42" i="20"/>
  <c r="S42" i="20" s="1"/>
  <c r="T42" i="20" s="1"/>
  <c r="P42" i="20"/>
  <c r="B44" i="20"/>
  <c r="C43" i="20"/>
  <c r="E43" i="20"/>
  <c r="F43" i="20"/>
  <c r="H43" i="20"/>
  <c r="G43" i="20"/>
  <c r="N43" i="20" l="1"/>
  <c r="O43" i="20" s="1"/>
  <c r="P43" i="20" s="1"/>
  <c r="R43" i="20"/>
  <c r="S43" i="20" s="1"/>
  <c r="T43" i="20" s="1"/>
  <c r="V43" i="20"/>
  <c r="W43" i="20" s="1"/>
  <c r="J43" i="20"/>
  <c r="K43" i="20" s="1"/>
  <c r="X43" i="20"/>
  <c r="E44" i="20"/>
  <c r="C44" i="20"/>
  <c r="B45" i="20"/>
  <c r="F44" i="20"/>
  <c r="H44" i="20"/>
  <c r="G44" i="20"/>
  <c r="L43" i="20"/>
  <c r="B46" i="20" l="1"/>
  <c r="E45" i="20"/>
  <c r="C45" i="20"/>
  <c r="H45" i="20"/>
  <c r="F45" i="20"/>
  <c r="G45" i="20"/>
  <c r="R44" i="20"/>
  <c r="S44" i="20" s="1"/>
  <c r="T44" i="20" s="1"/>
  <c r="V44" i="20"/>
  <c r="W44" i="20" s="1"/>
  <c r="X44" i="20" s="1"/>
  <c r="J44" i="20"/>
  <c r="K44" i="20" s="1"/>
  <c r="L44" i="20" s="1"/>
  <c r="N44" i="20"/>
  <c r="O44" i="20" s="1"/>
  <c r="P44" i="20" s="1"/>
  <c r="E46" i="20" l="1"/>
  <c r="B47" i="20"/>
  <c r="C46" i="20"/>
  <c r="F46" i="20"/>
  <c r="H46" i="20"/>
  <c r="G46" i="20"/>
  <c r="J45" i="20"/>
  <c r="K45" i="20" s="1"/>
  <c r="N45" i="20"/>
  <c r="O45" i="20" s="1"/>
  <c r="P45" i="20" s="1"/>
  <c r="V45" i="20"/>
  <c r="W45" i="20" s="1"/>
  <c r="X45" i="20" s="1"/>
  <c r="R45" i="20"/>
  <c r="S45" i="20" s="1"/>
  <c r="T45" i="20" s="1"/>
  <c r="L45" i="20"/>
  <c r="E47" i="20" l="1"/>
  <c r="B48" i="20"/>
  <c r="C47" i="20"/>
  <c r="G47" i="20"/>
  <c r="H47" i="20"/>
  <c r="F47" i="20"/>
  <c r="N46" i="20"/>
  <c r="O46" i="20" s="1"/>
  <c r="P46" i="20" s="1"/>
  <c r="R46" i="20"/>
  <c r="S46" i="20" s="1"/>
  <c r="T46" i="20" s="1"/>
  <c r="J46" i="20"/>
  <c r="K46" i="20" s="1"/>
  <c r="L46" i="20" s="1"/>
  <c r="V46" i="20"/>
  <c r="W46" i="20" s="1"/>
  <c r="X46" i="20" s="1"/>
  <c r="R47" i="20" l="1"/>
  <c r="S47" i="20" s="1"/>
  <c r="T47" i="20" s="1"/>
  <c r="V47" i="20"/>
  <c r="W47" i="20" s="1"/>
  <c r="X47" i="20" s="1"/>
  <c r="J47" i="20"/>
  <c r="K47" i="20" s="1"/>
  <c r="N47" i="20"/>
  <c r="O47" i="20" s="1"/>
  <c r="L47" i="20"/>
  <c r="P47" i="20"/>
  <c r="E48" i="20"/>
  <c r="B49" i="20"/>
  <c r="C48" i="20"/>
  <c r="G48" i="20"/>
  <c r="H48" i="20"/>
  <c r="F48" i="20"/>
  <c r="V48" i="20" l="1"/>
  <c r="W48" i="20" s="1"/>
  <c r="J48" i="20"/>
  <c r="K48" i="20" s="1"/>
  <c r="L48" i="20" s="1"/>
  <c r="R48" i="20"/>
  <c r="S48" i="20" s="1"/>
  <c r="T48" i="20" s="1"/>
  <c r="N48" i="20"/>
  <c r="O48" i="20" s="1"/>
  <c r="P48" i="20"/>
  <c r="B50" i="20"/>
  <c r="C49" i="20"/>
  <c r="E49" i="20"/>
  <c r="F49" i="20"/>
  <c r="G49" i="20"/>
  <c r="H49" i="20"/>
  <c r="X48" i="20"/>
  <c r="B51" i="20" l="1"/>
  <c r="C50" i="20"/>
  <c r="E50" i="20"/>
  <c r="G50" i="20"/>
  <c r="H50" i="20"/>
  <c r="F50" i="20"/>
  <c r="P49" i="20"/>
  <c r="N49" i="20"/>
  <c r="O49" i="20" s="1"/>
  <c r="V49" i="20"/>
  <c r="W49" i="20" s="1"/>
  <c r="X49" i="20" s="1"/>
  <c r="J49" i="20"/>
  <c r="K49" i="20" s="1"/>
  <c r="L49" i="20" s="1"/>
  <c r="R49" i="20"/>
  <c r="S49" i="20" s="1"/>
  <c r="T49" i="20" s="1"/>
  <c r="N50" i="20" l="1"/>
  <c r="O50" i="20" s="1"/>
  <c r="R50" i="20"/>
  <c r="S50" i="20" s="1"/>
  <c r="T50" i="20" s="1"/>
  <c r="V50" i="20"/>
  <c r="W50" i="20" s="1"/>
  <c r="X50" i="20" s="1"/>
  <c r="J50" i="20"/>
  <c r="K50" i="20" s="1"/>
  <c r="L50" i="20" s="1"/>
  <c r="E51" i="20"/>
  <c r="B52" i="20"/>
  <c r="C51" i="20"/>
  <c r="H51" i="20"/>
  <c r="F51" i="20"/>
  <c r="G51" i="20"/>
  <c r="P50" i="20"/>
  <c r="E52" i="20" l="1"/>
  <c r="B53" i="20"/>
  <c r="C52" i="20"/>
  <c r="F52" i="20"/>
  <c r="G52" i="20"/>
  <c r="H52" i="20"/>
  <c r="P51" i="20"/>
  <c r="R51" i="20"/>
  <c r="S51" i="20" s="1"/>
  <c r="T51" i="20" s="1"/>
  <c r="V51" i="20"/>
  <c r="W51" i="20" s="1"/>
  <c r="X51" i="20" s="1"/>
  <c r="J51" i="20"/>
  <c r="K51" i="20" s="1"/>
  <c r="L51" i="20" s="1"/>
  <c r="N51" i="20"/>
  <c r="O51" i="20" s="1"/>
  <c r="B54" i="20" l="1"/>
  <c r="C53" i="20"/>
  <c r="E53" i="20"/>
  <c r="F53" i="20"/>
  <c r="G53" i="20"/>
  <c r="H53" i="20"/>
  <c r="L52" i="20"/>
  <c r="V52" i="20"/>
  <c r="W52" i="20" s="1"/>
  <c r="X52" i="20" s="1"/>
  <c r="J52" i="20"/>
  <c r="K52" i="20" s="1"/>
  <c r="R52" i="20"/>
  <c r="S52" i="20" s="1"/>
  <c r="T52" i="20" s="1"/>
  <c r="N52" i="20"/>
  <c r="O52" i="20" s="1"/>
  <c r="P52" i="20" s="1"/>
  <c r="E54" i="20" l="1"/>
  <c r="C54" i="20"/>
  <c r="F54" i="20"/>
  <c r="G54" i="20"/>
  <c r="H54" i="20"/>
  <c r="N53" i="20"/>
  <c r="O53" i="20" s="1"/>
  <c r="V53" i="20"/>
  <c r="W53" i="20" s="1"/>
  <c r="X53" i="20" s="1"/>
  <c r="J53" i="20"/>
  <c r="K53" i="20" s="1"/>
  <c r="L53" i="20" s="1"/>
  <c r="R53" i="20"/>
  <c r="S53" i="20" s="1"/>
  <c r="T53" i="20" s="1"/>
  <c r="P53" i="20"/>
  <c r="N54" i="20" l="1"/>
  <c r="O54" i="20" s="1"/>
  <c r="P54" i="20" s="1"/>
  <c r="F53" i="14" s="1"/>
  <c r="R54" i="20"/>
  <c r="S54" i="20" s="1"/>
  <c r="T54" i="20" s="1"/>
  <c r="F54" i="14" s="1"/>
  <c r="V54" i="20"/>
  <c r="W54" i="20" s="1"/>
  <c r="X54" i="20" s="1"/>
  <c r="F55" i="14" s="1"/>
  <c r="J54" i="20"/>
  <c r="K54" i="20" s="1"/>
  <c r="L54" i="20" s="1"/>
  <c r="F52" i="14" s="1"/>
  <c r="F57" i="14" s="1"/>
  <c r="F58" i="14" s="1"/>
  <c r="C21" i="21" s="1"/>
  <c r="C22" i="21" s="1"/>
</calcChain>
</file>

<file path=xl/sharedStrings.xml><?xml version="1.0" encoding="utf-8"?>
<sst xmlns="http://schemas.openxmlformats.org/spreadsheetml/2006/main" count="2630" uniqueCount="646">
  <si>
    <t>(m)</t>
  </si>
  <si>
    <t>road length</t>
  </si>
  <si>
    <t>clay and gravel - dry</t>
  </si>
  <si>
    <t>density in bank</t>
  </si>
  <si>
    <t>density loose</t>
  </si>
  <si>
    <t>clay and gravel - wet</t>
  </si>
  <si>
    <t>earth - dry packed</t>
  </si>
  <si>
    <t>earth - loam</t>
  </si>
  <si>
    <t>earth - wet excavated</t>
  </si>
  <si>
    <t>earth and silt - dry</t>
  </si>
  <si>
    <t>earth and silt - wet</t>
  </si>
  <si>
    <t>gravel - dry</t>
  </si>
  <si>
    <t>gravel - dry 6-50 mm</t>
  </si>
  <si>
    <t>gravel - wet 6-50 mm</t>
  </si>
  <si>
    <t>rock 25% earth 75%</t>
  </si>
  <si>
    <t>rock 50% earth 50%</t>
  </si>
  <si>
    <t>rock 75% earth 25%</t>
  </si>
  <si>
    <t>sand - damp</t>
  </si>
  <si>
    <t>sand - dry loose</t>
  </si>
  <si>
    <t>sand - wet</t>
  </si>
  <si>
    <t>sand and clay</t>
  </si>
  <si>
    <t>sand and gravel - dry</t>
  </si>
  <si>
    <t>sand and gravel - wet</t>
  </si>
  <si>
    <t>sand and silt - dry</t>
  </si>
  <si>
    <t>silt - dry</t>
  </si>
  <si>
    <t>top soil</t>
  </si>
  <si>
    <r>
      <t>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</si>
  <si>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clay - dry</t>
  </si>
  <si>
    <t>clay - wet</t>
  </si>
  <si>
    <r>
      <t>(kg/m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</si>
  <si>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ROAD LENGTH</t>
  </si>
  <si>
    <t>CHARACTERIZATION OF EXCAVATORS</t>
  </si>
  <si>
    <t>type</t>
  </si>
  <si>
    <t>mini tracked excavator</t>
  </si>
  <si>
    <t>small tracked excavator</t>
  </si>
  <si>
    <t>big tracked excavator</t>
  </si>
  <si>
    <t>wheel excavator</t>
  </si>
  <si>
    <t>power</t>
  </si>
  <si>
    <t>(kW)</t>
  </si>
  <si>
    <t>6.8 - 48.5</t>
  </si>
  <si>
    <t>60 - 95</t>
  </si>
  <si>
    <t>95 - 200</t>
  </si>
  <si>
    <t>200 - 515</t>
  </si>
  <si>
    <t>65 - 155</t>
  </si>
  <si>
    <t>medium tracked excavator</t>
  </si>
  <si>
    <t>specific consumption</t>
  </si>
  <si>
    <t>(kg / kW h)</t>
  </si>
  <si>
    <t>data to fill manually</t>
  </si>
  <si>
    <t>layer 1 width</t>
  </si>
  <si>
    <t>layer 1 height</t>
  </si>
  <si>
    <t>layer 1 type</t>
  </si>
  <si>
    <t>layer 2 width</t>
  </si>
  <si>
    <t>layer 2 height</t>
  </si>
  <si>
    <t>layer 2 type</t>
  </si>
  <si>
    <t>layer 3 width</t>
  </si>
  <si>
    <t>layer 3 height</t>
  </si>
  <si>
    <t>layer 3 type</t>
  </si>
  <si>
    <t>layer 4 width</t>
  </si>
  <si>
    <t>layer 4 height</t>
  </si>
  <si>
    <t>layer 4 type</t>
  </si>
  <si>
    <t>layer 5 width</t>
  </si>
  <si>
    <t>layer 5 height</t>
  </si>
  <si>
    <t>layer 5 type</t>
  </si>
  <si>
    <t>load factor 1 for layer 1</t>
  </si>
  <si>
    <t>excavator "A" type</t>
  </si>
  <si>
    <t>excavator "B" type</t>
  </si>
  <si>
    <r>
      <t>SC</t>
    </r>
    <r>
      <rPr>
        <vertAlign val="subscript"/>
        <sz val="11"/>
        <color theme="1"/>
        <rFont val="Calibri"/>
        <family val="2"/>
        <scheme val="minor"/>
      </rPr>
      <t>ex,A</t>
    </r>
  </si>
  <si>
    <r>
      <t>SC</t>
    </r>
    <r>
      <rPr>
        <vertAlign val="subscript"/>
        <sz val="11"/>
        <color theme="1"/>
        <rFont val="Calibri"/>
        <family val="2"/>
        <scheme val="minor"/>
      </rPr>
      <t>ex,B</t>
    </r>
  </si>
  <si>
    <r>
      <t>SC</t>
    </r>
    <r>
      <rPr>
        <vertAlign val="subscript"/>
        <sz val="11"/>
        <color theme="1"/>
        <rFont val="Calibri"/>
        <family val="2"/>
        <scheme val="minor"/>
      </rPr>
      <t>ex,C</t>
    </r>
  </si>
  <si>
    <t>excavator "C" type</t>
  </si>
  <si>
    <t>(-)</t>
  </si>
  <si>
    <t>load factor 1 for layer 2</t>
  </si>
  <si>
    <t>load factor 1 for layer 3</t>
  </si>
  <si>
    <t>load factor 1 for layer 4</t>
  </si>
  <si>
    <t>load factor 1 for layer 5</t>
  </si>
  <si>
    <r>
      <t>T</t>
    </r>
    <r>
      <rPr>
        <vertAlign val="subscript"/>
        <sz val="11"/>
        <color theme="1"/>
        <rFont val="Calibri"/>
        <family val="2"/>
        <scheme val="minor"/>
      </rPr>
      <t>ex,A</t>
    </r>
  </si>
  <si>
    <t>daily duration of excavator use</t>
  </si>
  <si>
    <t>(min)</t>
  </si>
  <si>
    <t>load factor 2</t>
  </si>
  <si>
    <t>specific weight of fuel</t>
  </si>
  <si>
    <t>(kg/l)</t>
  </si>
  <si>
    <t>productivity</t>
  </si>
  <si>
    <r>
      <t>(h/m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</si>
  <si>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0.25 if characteristic curve is not available</t>
  </si>
  <si>
    <t>inside this suggested range</t>
  </si>
  <si>
    <t>0.007 - 0.012</t>
  </si>
  <si>
    <r>
      <t>T</t>
    </r>
    <r>
      <rPr>
        <vertAlign val="subscript"/>
        <sz val="11"/>
        <color theme="1"/>
        <rFont val="Calibri"/>
        <family val="2"/>
        <scheme val="minor"/>
      </rPr>
      <t>ex,B</t>
    </r>
  </si>
  <si>
    <r>
      <t>T</t>
    </r>
    <r>
      <rPr>
        <vertAlign val="subscript"/>
        <sz val="11"/>
        <color theme="1"/>
        <rFont val="Calibri"/>
        <family val="2"/>
        <scheme val="minor"/>
      </rPr>
      <t>ex,C</t>
    </r>
  </si>
  <si>
    <r>
      <t>(l/m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</si>
  <si>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ex,A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</si>
  <si>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</si>
  <si>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</si>
  <si>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</si>
  <si>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</si>
  <si>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</si>
  <si>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ex,A,2</t>
    </r>
  </si>
  <si>
    <r>
      <t>fuel consumption per m</t>
    </r>
    <r>
      <rPr>
        <vertAlign val="superscript"/>
        <sz val="11"/>
        <color theme="1"/>
        <rFont val="Calibri"/>
        <family val="2"/>
        <scheme val="minor"/>
      </rPr>
      <t>3</t>
    </r>
  </si>
  <si>
    <t>total fuel consumption</t>
  </si>
  <si>
    <t>(l)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</si>
  <si>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</si>
  <si>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excavator "A"</t>
  </si>
  <si>
    <t>"1" for use, "0" for no use</t>
  </si>
  <si>
    <t>excavator "B"</t>
  </si>
  <si>
    <r>
      <t>LF</t>
    </r>
    <r>
      <rPr>
        <vertAlign val="subscript"/>
        <sz val="11"/>
        <color theme="1"/>
        <rFont val="Calibri"/>
        <family val="2"/>
        <scheme val="minor"/>
      </rPr>
      <t>ex,B,1,1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</si>
  <si>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ex,B,1,2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</si>
  <si>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ex,B,1,3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</si>
  <si>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ex,B,1,4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</si>
  <si>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ex,B,1,5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</si>
  <si>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ex,B,2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</si>
  <si>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ex,B</t>
    </r>
  </si>
  <si>
    <t>excavator "C"</t>
  </si>
  <si>
    <r>
      <t>LF</t>
    </r>
    <r>
      <rPr>
        <vertAlign val="subscript"/>
        <sz val="11"/>
        <color theme="1"/>
        <rFont val="Calibri"/>
        <family val="2"/>
        <scheme val="minor"/>
      </rPr>
      <t>ex,C,1,1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</si>
  <si>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ex,C,1,2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</si>
  <si>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ex,C,1,3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</si>
  <si>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ex,C,1,4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</si>
  <si>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ex,C,1,5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</si>
  <si>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ex,C,2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</si>
  <si>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ex,C</t>
    </r>
  </si>
  <si>
    <t>excavator "A" power ripartition factor</t>
  </si>
  <si>
    <t>excavator "B" power ripartition factor</t>
  </si>
  <si>
    <t>excavator "C" power ripartition factor</t>
  </si>
  <si>
    <t>excavator "A" volume excavated</t>
  </si>
  <si>
    <t>excavator "B" volume excavated</t>
  </si>
  <si>
    <t>excavator "C" volume excavated</t>
  </si>
  <si>
    <t>excavator "A" fuel consumption</t>
  </si>
  <si>
    <t>excavator "B" fuel consumption</t>
  </si>
  <si>
    <t>excavator "C" fuel consumption</t>
  </si>
  <si>
    <t>EMISSIONS</t>
  </si>
  <si>
    <r>
      <t>FC</t>
    </r>
    <r>
      <rPr>
        <vertAlign val="subscript"/>
        <sz val="11"/>
        <color theme="1"/>
        <rFont val="Calibri"/>
        <family val="2"/>
        <scheme val="minor"/>
      </rPr>
      <t>ex</t>
    </r>
  </si>
  <si>
    <t>total carbon dioxide emission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</si>
  <si>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</si>
  <si>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(kg)</t>
  </si>
  <si>
    <t>emission factor for diesel</t>
  </si>
  <si>
    <r>
      <t>EF</t>
    </r>
    <r>
      <rPr>
        <vertAlign val="subscript"/>
        <sz val="11"/>
        <color theme="1"/>
        <rFont val="Calibri"/>
        <family val="2"/>
        <scheme val="minor"/>
      </rPr>
      <t>diesel</t>
    </r>
  </si>
  <si>
    <r>
      <t>(CO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/l)</t>
    </r>
  </si>
  <si>
    <t>light on-road truck</t>
  </si>
  <si>
    <t>medium on-road truck</t>
  </si>
  <si>
    <t>heavy on-road truck</t>
  </si>
  <si>
    <t>operating weight</t>
  </si>
  <si>
    <t>3300 - 7000</t>
  </si>
  <si>
    <t>6500 - 18000</t>
  </si>
  <si>
    <t>&gt; 16000</t>
  </si>
  <si>
    <t>11500-15000</t>
  </si>
  <si>
    <t>fuel consumption</t>
  </si>
  <si>
    <t>(l/km)</t>
  </si>
  <si>
    <t>0.4 - 0.3</t>
  </si>
  <si>
    <t>0.3 - 0.2</t>
  </si>
  <si>
    <t>0.2 - 0.1</t>
  </si>
  <si>
    <t>vehicle "A"</t>
  </si>
  <si>
    <t>vehicle "A" type</t>
  </si>
  <si>
    <t>vehicle "C" type</t>
  </si>
  <si>
    <t>traveling distance</t>
  </si>
  <si>
    <t>(km)</t>
  </si>
  <si>
    <r>
      <t>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</si>
  <si>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5 - 10</t>
  </si>
  <si>
    <t>10 - 15</t>
  </si>
  <si>
    <t>15 - 20</t>
  </si>
  <si>
    <t>15 - 25</t>
  </si>
  <si>
    <t>25 - 35</t>
  </si>
  <si>
    <t>K full-empty coefficient</t>
  </si>
  <si>
    <t>capacity</t>
  </si>
  <si>
    <r>
      <t>C</t>
    </r>
    <r>
      <rPr>
        <vertAlign val="subscript"/>
        <sz val="11"/>
        <color theme="1"/>
        <rFont val="Calibri"/>
        <family val="2"/>
        <scheme val="minor"/>
      </rPr>
      <t>tr,A</t>
    </r>
  </si>
  <si>
    <r>
      <t>I</t>
    </r>
    <r>
      <rPr>
        <vertAlign val="subscript"/>
        <sz val="11"/>
        <color theme="1"/>
        <rFont val="Calibri"/>
        <family val="2"/>
        <scheme val="minor"/>
      </rPr>
      <t>tr,C</t>
    </r>
  </si>
  <si>
    <r>
      <t>R</t>
    </r>
    <r>
      <rPr>
        <vertAlign val="subscript"/>
        <sz val="11"/>
        <color theme="1"/>
        <rFont val="Calibri"/>
        <family val="2"/>
        <scheme val="minor"/>
      </rPr>
      <t>tr,A</t>
    </r>
  </si>
  <si>
    <r>
      <t>I</t>
    </r>
    <r>
      <rPr>
        <vertAlign val="subscript"/>
        <sz val="11"/>
        <color theme="1"/>
        <rFont val="Calibri"/>
        <family val="2"/>
        <scheme val="minor"/>
      </rPr>
      <t>tr,A</t>
    </r>
  </si>
  <si>
    <r>
      <t>K</t>
    </r>
    <r>
      <rPr>
        <vertAlign val="subscript"/>
        <sz val="11"/>
        <color theme="1"/>
        <rFont val="Calibri"/>
        <family val="2"/>
        <scheme val="minor"/>
      </rPr>
      <t>tr,A</t>
    </r>
  </si>
  <si>
    <t>vehicle "B"</t>
  </si>
  <si>
    <t>vehicle "B" type</t>
  </si>
  <si>
    <r>
      <t>C</t>
    </r>
    <r>
      <rPr>
        <vertAlign val="subscript"/>
        <sz val="11"/>
        <color theme="1"/>
        <rFont val="Calibri"/>
        <family val="2"/>
        <scheme val="minor"/>
      </rPr>
      <t>tr,B</t>
    </r>
  </si>
  <si>
    <r>
      <t>I</t>
    </r>
    <r>
      <rPr>
        <vertAlign val="subscript"/>
        <sz val="11"/>
        <color theme="1"/>
        <rFont val="Calibri"/>
        <family val="2"/>
        <scheme val="minor"/>
      </rPr>
      <t>tr,B</t>
    </r>
  </si>
  <si>
    <r>
      <t>R</t>
    </r>
    <r>
      <rPr>
        <vertAlign val="subscript"/>
        <sz val="11"/>
        <color theme="1"/>
        <rFont val="Calibri"/>
        <family val="2"/>
        <scheme val="minor"/>
      </rPr>
      <t>tr,B</t>
    </r>
  </si>
  <si>
    <r>
      <t>K</t>
    </r>
    <r>
      <rPr>
        <vertAlign val="subscript"/>
        <sz val="11"/>
        <color theme="1"/>
        <rFont val="Calibri"/>
        <family val="2"/>
        <scheme val="minor"/>
      </rPr>
      <t>tr,B</t>
    </r>
  </si>
  <si>
    <t>vehicle "C"</t>
  </si>
  <si>
    <r>
      <t>C</t>
    </r>
    <r>
      <rPr>
        <vertAlign val="subscript"/>
        <sz val="11"/>
        <color theme="1"/>
        <rFont val="Calibri"/>
        <family val="2"/>
        <scheme val="minor"/>
      </rPr>
      <t>tr,C</t>
    </r>
  </si>
  <si>
    <r>
      <t>R</t>
    </r>
    <r>
      <rPr>
        <vertAlign val="subscript"/>
        <sz val="11"/>
        <color theme="1"/>
        <rFont val="Calibri"/>
        <family val="2"/>
        <scheme val="minor"/>
      </rPr>
      <t>tr,C</t>
    </r>
  </si>
  <si>
    <r>
      <t>K</t>
    </r>
    <r>
      <rPr>
        <vertAlign val="subscript"/>
        <sz val="11"/>
        <color theme="1"/>
        <rFont val="Calibri"/>
        <family val="2"/>
        <scheme val="minor"/>
      </rPr>
      <t>tr,C</t>
    </r>
  </si>
  <si>
    <t>transport "A" volume freighted</t>
  </si>
  <si>
    <t>transport "B" volume freighted</t>
  </si>
  <si>
    <t>transport "C" volume freighted</t>
  </si>
  <si>
    <t>transport "A" fuel consumption</t>
  </si>
  <si>
    <t>transport "B" fuel consumption</t>
  </si>
  <si>
    <t>transport "C" fuel consumption</t>
  </si>
  <si>
    <r>
      <t>FC</t>
    </r>
    <r>
      <rPr>
        <vertAlign val="subscript"/>
        <sz val="11"/>
        <color theme="1"/>
        <rFont val="Calibri"/>
        <family val="2"/>
        <scheme val="minor"/>
      </rPr>
      <t>tr,A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</si>
  <si>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tr,B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</si>
  <si>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tr,C</t>
    </r>
  </si>
  <si>
    <t>transport total fuel consumption</t>
  </si>
  <si>
    <t>total cut volume</t>
  </si>
  <si>
    <t>total fill volume</t>
  </si>
  <si>
    <t>EXCAVATORS FOR CUTTING (up to three types of excavator)</t>
  </si>
  <si>
    <t>CHARACTERIZATION OF LOADERS</t>
  </si>
  <si>
    <t>bucket capacity</t>
  </si>
  <si>
    <t>mini loader</t>
  </si>
  <si>
    <t>small wheel loader</t>
  </si>
  <si>
    <t>medium wheel loader</t>
  </si>
  <si>
    <t>big wheel loader</t>
  </si>
  <si>
    <t>truck loader</t>
  </si>
  <si>
    <t>0.23 - 1.80</t>
  </si>
  <si>
    <t>0.80 - 5.00</t>
  </si>
  <si>
    <t>3.00 - 14.00</t>
  </si>
  <si>
    <t>7.70 - 36.00</t>
  </si>
  <si>
    <t>0.97 - 3.21</t>
  </si>
  <si>
    <t>52 - 71</t>
  </si>
  <si>
    <t>46 - 126</t>
  </si>
  <si>
    <t>140 - 303</t>
  </si>
  <si>
    <t>373 - 1092</t>
  </si>
  <si>
    <t>42 - 1176</t>
  </si>
  <si>
    <t>loader "A"</t>
  </si>
  <si>
    <t>loader "A" type</t>
  </si>
  <si>
    <r>
      <t>SC</t>
    </r>
    <r>
      <rPr>
        <vertAlign val="subscript"/>
        <sz val="11"/>
        <color theme="1"/>
        <rFont val="Calibri"/>
        <family val="2"/>
        <scheme val="minor"/>
      </rPr>
      <t>lo,A</t>
    </r>
  </si>
  <si>
    <t>grade of the slope</t>
  </si>
  <si>
    <r>
      <t>G</t>
    </r>
    <r>
      <rPr>
        <vertAlign val="subscript"/>
        <sz val="11"/>
        <color theme="1"/>
        <rFont val="Calibri"/>
        <family val="2"/>
        <scheme val="minor"/>
      </rPr>
      <t>lo,A</t>
    </r>
  </si>
  <si>
    <t>0 - 35</t>
  </si>
  <si>
    <r>
      <t>LF</t>
    </r>
    <r>
      <rPr>
        <vertAlign val="subscript"/>
        <sz val="11"/>
        <color theme="1"/>
        <rFont val="Calibri"/>
        <family val="2"/>
        <scheme val="minor"/>
      </rPr>
      <t>lo,A,1,1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</si>
  <si>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lo,A,1,2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</si>
  <si>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lo,A,1,3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</si>
  <si>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lo,A,1,4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</si>
  <si>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lo,A,1,5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</si>
  <si>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lo,A,2</t>
    </r>
  </si>
  <si>
    <t>LOADERS FOR FILLING (up to three types of loader)</t>
  </si>
  <si>
    <t>loader "B"</t>
  </si>
  <si>
    <t>loader "B" type</t>
  </si>
  <si>
    <r>
      <t>SC</t>
    </r>
    <r>
      <rPr>
        <vertAlign val="subscript"/>
        <sz val="11"/>
        <color theme="1"/>
        <rFont val="Calibri"/>
        <family val="2"/>
        <scheme val="minor"/>
      </rPr>
      <t>lo,B</t>
    </r>
  </si>
  <si>
    <r>
      <t>G</t>
    </r>
    <r>
      <rPr>
        <vertAlign val="subscript"/>
        <sz val="11"/>
        <color theme="1"/>
        <rFont val="Calibri"/>
        <family val="2"/>
        <scheme val="minor"/>
      </rPr>
      <t>lo,B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</si>
  <si>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</si>
  <si>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</si>
  <si>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</si>
  <si>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</si>
  <si>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</si>
  <si>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lo,B,2</t>
    </r>
  </si>
  <si>
    <t>loader "C"</t>
  </si>
  <si>
    <t>loader "C" type</t>
  </si>
  <si>
    <r>
      <t>SC</t>
    </r>
    <r>
      <rPr>
        <vertAlign val="subscript"/>
        <sz val="11"/>
        <color theme="1"/>
        <rFont val="Calibri"/>
        <family val="2"/>
        <scheme val="minor"/>
      </rPr>
      <t>lo,C</t>
    </r>
  </si>
  <si>
    <r>
      <t>G</t>
    </r>
    <r>
      <rPr>
        <vertAlign val="subscript"/>
        <sz val="11"/>
        <color theme="1"/>
        <rFont val="Calibri"/>
        <family val="2"/>
        <scheme val="minor"/>
      </rPr>
      <t>lo,C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</si>
  <si>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lo,C,1,1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</si>
  <si>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lo,C,1,2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</si>
  <si>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lo,C,1,3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</si>
  <si>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lo,C,1,4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</si>
  <si>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lo,C,1,5</t>
    </r>
  </si>
  <si>
    <r>
      <t>LF</t>
    </r>
    <r>
      <rPr>
        <vertAlign val="subscript"/>
        <sz val="11"/>
        <color theme="1"/>
        <rFont val="Calibri"/>
        <family val="2"/>
        <scheme val="minor"/>
      </rPr>
      <t>lo,C,2</t>
    </r>
  </si>
  <si>
    <t>TRANSPORT TO REMOVE CUT (up to three types of vehicles)</t>
  </si>
  <si>
    <t>TRANSPORT TO FREIGHT FILL (up to three types of vehicles)</t>
  </si>
  <si>
    <t>loader "A" power ripartition factor</t>
  </si>
  <si>
    <t>loader "B" power ripartition factor</t>
  </si>
  <si>
    <t>loader "C" power ripartition factor</t>
  </si>
  <si>
    <t>loader "A" volume placed</t>
  </si>
  <si>
    <t>loader "B" volume placed</t>
  </si>
  <si>
    <t>loader "C" volume placed</t>
  </si>
  <si>
    <t>loader "A" fuel consumption</t>
  </si>
  <si>
    <t>loader "B" fuel consumption</t>
  </si>
  <si>
    <t>loader "C" fuel consumption</t>
  </si>
  <si>
    <r>
      <t>FC</t>
    </r>
    <r>
      <rPr>
        <vertAlign val="subscript"/>
        <sz val="11"/>
        <color theme="1"/>
        <rFont val="Calibri"/>
        <family val="2"/>
        <scheme val="minor"/>
      </rPr>
      <t>lo,A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</si>
  <si>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lo,B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</si>
  <si>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lo,C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</si>
  <si>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</si>
  <si>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</t>
    </r>
  </si>
  <si>
    <t>CHARACTERIZATION OF COMPACTOR ROLLERS</t>
  </si>
  <si>
    <t>compaction width</t>
  </si>
  <si>
    <t>light smooth drum roller</t>
  </si>
  <si>
    <t>pneumatic roller</t>
  </si>
  <si>
    <t>soil compactor</t>
  </si>
  <si>
    <t>vibratory soil compactor</t>
  </si>
  <si>
    <t>tandem vibratory roller</t>
  </si>
  <si>
    <t>heavy smooth drum roller</t>
  </si>
  <si>
    <t>30 - 119</t>
  </si>
  <si>
    <t>98 - 190</t>
  </si>
  <si>
    <t>60 - 132</t>
  </si>
  <si>
    <t>75 - 330</t>
  </si>
  <si>
    <t>48 - 160</t>
  </si>
  <si>
    <t>51 - 100</t>
  </si>
  <si>
    <t>1.20 - 2.20</t>
  </si>
  <si>
    <t>2.13 - 2.40</t>
  </si>
  <si>
    <t>1.50 - 2.75</t>
  </si>
  <si>
    <t>2.13 - 4.39</t>
  </si>
  <si>
    <t>1.67 - 2.14</t>
  </si>
  <si>
    <t>1.13 - 2.13</t>
  </si>
  <si>
    <t>2000 - 14680</t>
  </si>
  <si>
    <t>15000 - 32000</t>
  </si>
  <si>
    <t>8900 - 27000</t>
  </si>
  <si>
    <t>7630 - 37900</t>
  </si>
  <si>
    <t>5800 - 20100</t>
  </si>
  <si>
    <t>6650 - 14000</t>
  </si>
  <si>
    <t>width to be compacted</t>
  </si>
  <si>
    <t>subgrade type</t>
  </si>
  <si>
    <t>COMPACTOR ROLLER</t>
  </si>
  <si>
    <t>depth to be compacted</t>
  </si>
  <si>
    <t>compactor type</t>
  </si>
  <si>
    <r>
      <t>(</t>
    </r>
    <r>
      <rPr>
        <sz val="11"/>
        <color theme="1"/>
        <rFont val="Times New Roman"/>
        <family val="1"/>
      </rPr>
      <t>°</t>
    </r>
    <r>
      <rPr>
        <sz val="11"/>
        <color theme="1"/>
        <rFont val="Calibri"/>
        <family val="2"/>
        <scheme val="minor"/>
      </rPr>
      <t>)</t>
    </r>
  </si>
  <si>
    <r>
      <t>G</t>
    </r>
    <r>
      <rPr>
        <vertAlign val="subscript"/>
        <sz val="11"/>
        <color theme="1"/>
        <rFont val="Calibri"/>
        <family val="2"/>
        <scheme val="minor"/>
      </rPr>
      <t>com</t>
    </r>
  </si>
  <si>
    <r>
      <t>ρ</t>
    </r>
    <r>
      <rPr>
        <vertAlign val="subscript"/>
        <sz val="11"/>
        <color theme="1"/>
        <rFont val="Calibri"/>
        <family val="2"/>
      </rPr>
      <t>com,fuel</t>
    </r>
  </si>
  <si>
    <r>
      <t>ρ</t>
    </r>
    <r>
      <rPr>
        <vertAlign val="subscript"/>
        <sz val="11"/>
        <color theme="1"/>
        <rFont val="Calibri"/>
        <family val="2"/>
      </rPr>
      <t>b,1</t>
    </r>
  </si>
  <si>
    <r>
      <t>ρ</t>
    </r>
    <r>
      <rPr>
        <vertAlign val="subscript"/>
        <sz val="11"/>
        <color theme="1"/>
        <rFont val="Calibri"/>
        <family val="2"/>
      </rPr>
      <t>l,1</t>
    </r>
  </si>
  <si>
    <r>
      <t>ρ</t>
    </r>
    <r>
      <rPr>
        <vertAlign val="subscript"/>
        <sz val="11"/>
        <color theme="1"/>
        <rFont val="Calibri"/>
        <family val="2"/>
      </rPr>
      <t>b,2</t>
    </r>
  </si>
  <si>
    <r>
      <t>ρ</t>
    </r>
    <r>
      <rPr>
        <vertAlign val="subscript"/>
        <sz val="11"/>
        <color theme="1"/>
        <rFont val="Calibri"/>
        <family val="2"/>
      </rPr>
      <t>l,2</t>
    </r>
  </si>
  <si>
    <r>
      <t>ρ</t>
    </r>
    <r>
      <rPr>
        <vertAlign val="subscript"/>
        <sz val="11"/>
        <color theme="1"/>
        <rFont val="Calibri"/>
        <family val="2"/>
      </rPr>
      <t>b,3</t>
    </r>
  </si>
  <si>
    <r>
      <t>ρ</t>
    </r>
    <r>
      <rPr>
        <vertAlign val="subscript"/>
        <sz val="11"/>
        <color theme="1"/>
        <rFont val="Calibri"/>
        <family val="2"/>
      </rPr>
      <t>l,3</t>
    </r>
  </si>
  <si>
    <r>
      <t>ρ</t>
    </r>
    <r>
      <rPr>
        <vertAlign val="subscript"/>
        <sz val="11"/>
        <color theme="1"/>
        <rFont val="Calibri"/>
        <family val="2"/>
      </rPr>
      <t>b,4</t>
    </r>
  </si>
  <si>
    <r>
      <t>ρ</t>
    </r>
    <r>
      <rPr>
        <vertAlign val="subscript"/>
        <sz val="11"/>
        <color theme="1"/>
        <rFont val="Calibri"/>
        <family val="2"/>
      </rPr>
      <t>l,4</t>
    </r>
  </si>
  <si>
    <r>
      <t>ρ</t>
    </r>
    <r>
      <rPr>
        <vertAlign val="subscript"/>
        <sz val="11"/>
        <color theme="1"/>
        <rFont val="Calibri"/>
        <family val="2"/>
      </rPr>
      <t>b,5</t>
    </r>
  </si>
  <si>
    <r>
      <t>ρ</t>
    </r>
    <r>
      <rPr>
        <vertAlign val="subscript"/>
        <sz val="11"/>
        <color theme="1"/>
        <rFont val="Calibri"/>
        <family val="2"/>
      </rPr>
      <t>l,5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</si>
  <si>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ex,A,fuel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</si>
  <si>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ex,A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</si>
  <si>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ex,A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</si>
  <si>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ex,B,fuel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</si>
  <si>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ex,B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</si>
  <si>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ex,B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</si>
  <si>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ex,C,fuel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</si>
  <si>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ex,C</t>
    </r>
  </si>
  <si>
    <r>
      <t>FC</t>
    </r>
    <r>
      <rPr>
        <vertAlign val="subscript"/>
        <sz val="11"/>
        <color theme="1"/>
        <rFont val="Calibri"/>
        <family val="2"/>
        <scheme val="minor"/>
      </rPr>
      <t>ex,C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</si>
  <si>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tr,A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</si>
  <si>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tr,B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</si>
  <si>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t>FC</t>
    </r>
    <r>
      <rPr>
        <vertAlign val="subscript"/>
        <sz val="11"/>
        <color theme="1"/>
        <rFont val="Calibri"/>
        <family val="2"/>
        <scheme val="minor"/>
      </rPr>
      <t>tr,C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</si>
  <si>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b,1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</si>
  <si>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l,1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</si>
  <si>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b,2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</si>
  <si>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l,2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</si>
  <si>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b,3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</si>
  <si>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l,3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</si>
  <si>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b,4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</si>
  <si>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l,4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</si>
  <si>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b,5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</si>
  <si>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l,5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</si>
  <si>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lo,A,fuel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</si>
  <si>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lo,A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</si>
  <si>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lo,A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</si>
  <si>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lo,B,fuel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</si>
  <si>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lo,B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</si>
  <si>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lo,B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</si>
  <si>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rPr>
        <sz val="11"/>
        <color theme="1"/>
        <rFont val="Calibri"/>
        <family val="2"/>
        <scheme val="minor"/>
      </rPr>
      <t>ρ</t>
    </r>
    <r>
      <rPr>
        <vertAlign val="subscript"/>
        <sz val="11"/>
        <color theme="1"/>
        <rFont val="Calibri"/>
        <family val="2"/>
        <scheme val="minor"/>
      </rPr>
      <t>lo,C,fuel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</si>
  <si>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lo,C</t>
    </r>
  </si>
  <si>
    <r>
      <t>FC</t>
    </r>
    <r>
      <rPr>
        <vertAlign val="subscript"/>
        <sz val="11"/>
        <color theme="1"/>
        <rFont val="Calibri"/>
        <family val="2"/>
        <scheme val="minor"/>
      </rPr>
      <t>lo,C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</si>
  <si>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r>
      <t>SC</t>
    </r>
    <r>
      <rPr>
        <vertAlign val="subscript"/>
        <sz val="11"/>
        <color theme="1"/>
        <rFont val="Calibri"/>
        <family val="2"/>
        <scheme val="minor"/>
      </rPr>
      <t>com</t>
    </r>
  </si>
  <si>
    <r>
      <t>Pr</t>
    </r>
    <r>
      <rPr>
        <vertAlign val="subscript"/>
        <sz val="11"/>
        <color theme="1"/>
        <rFont val="Calibri"/>
        <family val="2"/>
      </rPr>
      <t>com</t>
    </r>
  </si>
  <si>
    <t>load factor 1</t>
  </si>
  <si>
    <r>
      <t>LF</t>
    </r>
    <r>
      <rPr>
        <vertAlign val="subscript"/>
        <sz val="11"/>
        <color theme="1"/>
        <rFont val="Calibri"/>
        <family val="2"/>
        <scheme val="minor"/>
      </rPr>
      <t>com,1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</si>
  <si>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com,2</t>
    </r>
  </si>
  <si>
    <r>
      <t>FC</t>
    </r>
    <r>
      <rPr>
        <vertAlign val="subscript"/>
        <sz val="11"/>
        <color theme="1"/>
        <rFont val="Calibri"/>
        <family val="2"/>
        <scheme val="minor"/>
      </rPr>
      <t>com</t>
    </r>
    <r>
      <rPr>
        <sz val="11"/>
        <color theme="1"/>
        <rFont val="Calibri"/>
        <family val="2"/>
        <scheme val="minor"/>
      </rPr>
      <t>,</t>
    </r>
    <r>
      <rPr>
        <vertAlign val="subscript"/>
        <sz val="11"/>
        <color theme="1"/>
        <rFont val="Calibri"/>
        <family val="2"/>
        <scheme val="minor"/>
      </rPr>
      <t>m3</t>
    </r>
  </si>
  <si>
    <t>number of compaction passages</t>
  </si>
  <si>
    <t>fuel consumption total area</t>
  </si>
  <si>
    <r>
      <t>FC</t>
    </r>
    <r>
      <rPr>
        <vertAlign val="subscript"/>
        <sz val="11"/>
        <color theme="1"/>
        <rFont val="Calibri"/>
        <family val="2"/>
        <scheme val="minor"/>
      </rPr>
      <t>com</t>
    </r>
  </si>
  <si>
    <t>CHARACTERIZATION OF GEOMATERIALS</t>
  </si>
  <si>
    <t>subbase width</t>
  </si>
  <si>
    <t>subbase type</t>
  </si>
  <si>
    <t>CHARACTERIZATION OF DOZERS</t>
  </si>
  <si>
    <t>small dozer</t>
  </si>
  <si>
    <t>medium dozer</t>
  </si>
  <si>
    <t>big dozer</t>
  </si>
  <si>
    <t>66 - 131</t>
  </si>
  <si>
    <t>131 - 195</t>
  </si>
  <si>
    <t>237 - 671</t>
  </si>
  <si>
    <t>blade width</t>
  </si>
  <si>
    <t>2.71 - 3.22</t>
  </si>
  <si>
    <t>2.99 - 5.77</t>
  </si>
  <si>
    <t>3.94 - 4.99</t>
  </si>
  <si>
    <t>dozer type</t>
  </si>
  <si>
    <r>
      <t>G</t>
    </r>
    <r>
      <rPr>
        <vertAlign val="subscript"/>
        <sz val="11"/>
        <color theme="1"/>
        <rFont val="Calibri"/>
        <family val="2"/>
        <scheme val="minor"/>
      </rPr>
      <t>do</t>
    </r>
  </si>
  <si>
    <r>
      <t>ρ</t>
    </r>
    <r>
      <rPr>
        <vertAlign val="subscript"/>
        <sz val="11"/>
        <color theme="1"/>
        <rFont val="Calibri"/>
        <family val="2"/>
        <scheme val="minor"/>
      </rPr>
      <t>do,fuel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</si>
  <si>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do</t>
    </r>
  </si>
  <si>
    <r>
      <t>LF</t>
    </r>
    <r>
      <rPr>
        <vertAlign val="subscript"/>
        <sz val="11"/>
        <color theme="1"/>
        <rFont val="Calibri"/>
        <family val="2"/>
        <scheme val="minor"/>
      </rPr>
      <t>do,1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</si>
  <si>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do,2</t>
    </r>
  </si>
  <si>
    <r>
      <t>FC</t>
    </r>
    <r>
      <rPr>
        <vertAlign val="subscript"/>
        <sz val="11"/>
        <color theme="1"/>
        <rFont val="Calibri"/>
        <family val="2"/>
        <scheme val="minor"/>
      </rPr>
      <t>do,m3</t>
    </r>
  </si>
  <si>
    <r>
      <t>SC</t>
    </r>
    <r>
      <rPr>
        <vertAlign val="subscript"/>
        <sz val="11"/>
        <color theme="1"/>
        <rFont val="Calibri"/>
        <family val="2"/>
        <scheme val="minor"/>
      </rPr>
      <t>do</t>
    </r>
  </si>
  <si>
    <t>fuel consumption total area compactor</t>
  </si>
  <si>
    <t>number of compaction passages compactor</t>
  </si>
  <si>
    <t>TRANSPORT TO FREIGHT SUBBASE (up to three types of vehicles)</t>
  </si>
  <si>
    <t>total fuel consumption compactor</t>
  </si>
  <si>
    <t>SUBBASE TYPE</t>
  </si>
  <si>
    <t>DOZER FOR SPREADING SUBBASE</t>
  </si>
  <si>
    <t>BASE TYPE</t>
  </si>
  <si>
    <t>base width</t>
  </si>
  <si>
    <t>base type</t>
  </si>
  <si>
    <t>asphalt concrete</t>
  </si>
  <si>
    <t>/</t>
  </si>
  <si>
    <t>DOZER FOR SPREADING BASE</t>
  </si>
  <si>
    <t>TRANSPORT TO FREIGHT BASE (up to three types of vehicles)</t>
  </si>
  <si>
    <r>
      <t>FC</t>
    </r>
    <r>
      <rPr>
        <vertAlign val="subscript"/>
        <sz val="11"/>
        <color theme="1"/>
        <rFont val="Calibri"/>
        <family val="2"/>
        <scheme val="minor"/>
      </rPr>
      <t>doz</t>
    </r>
  </si>
  <si>
    <t>binder layer width</t>
  </si>
  <si>
    <t>subbase thickness</t>
  </si>
  <si>
    <t>base thickness</t>
  </si>
  <si>
    <t>binder layer thickness</t>
  </si>
  <si>
    <t>binder layer type</t>
  </si>
  <si>
    <r>
      <t>ρ</t>
    </r>
    <r>
      <rPr>
        <vertAlign val="subscript"/>
        <sz val="11"/>
        <color theme="1"/>
        <rFont val="Calibri"/>
        <family val="2"/>
      </rPr>
      <t>b</t>
    </r>
  </si>
  <si>
    <r>
      <t>ρ</t>
    </r>
    <r>
      <rPr>
        <vertAlign val="subscript"/>
        <sz val="11"/>
        <color theme="1"/>
        <rFont val="Calibri"/>
        <family val="2"/>
      </rPr>
      <t>l</t>
    </r>
  </si>
  <si>
    <t>total binder layer volume</t>
  </si>
  <si>
    <t>ASPHALT PAVER</t>
  </si>
  <si>
    <t>CHARACTERIZATION OF ASPHALT PAVER</t>
  </si>
  <si>
    <t>small asphalt paver</t>
  </si>
  <si>
    <t>medium asphalt paver</t>
  </si>
  <si>
    <t>big asphalt paver</t>
  </si>
  <si>
    <t>34 - 55</t>
  </si>
  <si>
    <t>129 - 186</t>
  </si>
  <si>
    <t>55 - 129</t>
  </si>
  <si>
    <t>13800 - 1700</t>
  </si>
  <si>
    <t>4500 - 7000</t>
  </si>
  <si>
    <t>7000 - 13800</t>
  </si>
  <si>
    <t>hopper capacity</t>
  </si>
  <si>
    <t>operating capacity</t>
  </si>
  <si>
    <t>4 - 6</t>
  </si>
  <si>
    <t>6 - 8</t>
  </si>
  <si>
    <t>asphalt paver type</t>
  </si>
  <si>
    <t>3 - 4</t>
  </si>
  <si>
    <r>
      <t>SC</t>
    </r>
    <r>
      <rPr>
        <vertAlign val="subscript"/>
        <sz val="11"/>
        <color theme="1"/>
        <rFont val="Calibri"/>
        <family val="2"/>
        <scheme val="minor"/>
      </rPr>
      <t>ap</t>
    </r>
  </si>
  <si>
    <r>
      <t>G</t>
    </r>
    <r>
      <rPr>
        <vertAlign val="subscript"/>
        <sz val="11"/>
        <color theme="1"/>
        <rFont val="Calibri"/>
        <family val="2"/>
        <scheme val="minor"/>
      </rPr>
      <t>ap</t>
    </r>
  </si>
  <si>
    <r>
      <t>ρ</t>
    </r>
    <r>
      <rPr>
        <vertAlign val="subscript"/>
        <sz val="11"/>
        <color theme="1"/>
        <rFont val="Calibri"/>
        <family val="2"/>
        <scheme val="minor"/>
      </rPr>
      <t>ap,fuel</t>
    </r>
  </si>
  <si>
    <r>
      <t>Pr</t>
    </r>
    <r>
      <rPr>
        <vertAlign val="subscript"/>
        <sz val="11"/>
        <color theme="1"/>
        <rFont val="Calibri"/>
        <family val="2"/>
        <scheme val="minor"/>
      </rPr>
      <t>ap</t>
    </r>
  </si>
  <si>
    <r>
      <t>LF</t>
    </r>
    <r>
      <rPr>
        <vertAlign val="subscript"/>
        <sz val="11"/>
        <color theme="1"/>
        <rFont val="Calibri"/>
        <family val="2"/>
        <scheme val="minor"/>
      </rPr>
      <t>ap,1</t>
    </r>
  </si>
  <si>
    <r>
      <t>LF</t>
    </r>
    <r>
      <rPr>
        <vertAlign val="subscript"/>
        <sz val="11"/>
        <color theme="1"/>
        <rFont val="Calibri"/>
        <family val="2"/>
        <scheme val="minor"/>
      </rPr>
      <t>ap,2</t>
    </r>
  </si>
  <si>
    <r>
      <t>FC</t>
    </r>
    <r>
      <rPr>
        <vertAlign val="subscript"/>
        <sz val="11"/>
        <color theme="1"/>
        <rFont val="Calibri"/>
        <family val="2"/>
        <scheme val="minor"/>
      </rPr>
      <t>ap,m3</t>
    </r>
  </si>
  <si>
    <t>TRANSPORT TO FREIGHT ASPHALT CONCRETE (up to three types of vehicles)</t>
  </si>
  <si>
    <t>fuel consumption total area asphalt paver</t>
  </si>
  <si>
    <t>number of spreading passages asphalt paver</t>
  </si>
  <si>
    <t>total fuel consumption asphalt paver</t>
  </si>
  <si>
    <r>
      <t>FC</t>
    </r>
    <r>
      <rPr>
        <vertAlign val="subscript"/>
        <sz val="11"/>
        <color theme="1"/>
        <rFont val="Calibri"/>
        <family val="2"/>
        <scheme val="minor"/>
      </rPr>
      <t>ap</t>
    </r>
  </si>
  <si>
    <t>transport "A" capacity ripartition factor</t>
  </si>
  <si>
    <t>transport "B" capacity ripartition factor</t>
  </si>
  <si>
    <t>transport "C" capacity ripartition factor</t>
  </si>
  <si>
    <t>BINDER LAYER TYPE</t>
  </si>
  <si>
    <t>WEARING LAYER TYPE</t>
  </si>
  <si>
    <t>wearing layer width</t>
  </si>
  <si>
    <t>wearing layer thickness</t>
  </si>
  <si>
    <t>road surface area</t>
  </si>
  <si>
    <t>A</t>
  </si>
  <si>
    <r>
      <t>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</si>
  <si>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albedo</t>
  </si>
  <si>
    <t>radiative force</t>
  </si>
  <si>
    <t>RF</t>
  </si>
  <si>
    <t>(year)</t>
  </si>
  <si>
    <t>t</t>
  </si>
  <si>
    <r>
      <t>(W/m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</si>
  <si>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top layer width</t>
  </si>
  <si>
    <t>top layer type</t>
  </si>
  <si>
    <t>number of directions</t>
  </si>
  <si>
    <t>initial IRI</t>
  </si>
  <si>
    <r>
      <t>IRI</t>
    </r>
    <r>
      <rPr>
        <vertAlign val="subscript"/>
        <sz val="11"/>
        <color theme="1"/>
        <rFont val="Calibri"/>
        <family val="2"/>
        <scheme val="minor"/>
      </rPr>
      <t>in</t>
    </r>
  </si>
  <si>
    <t>(m/km)</t>
  </si>
  <si>
    <t>yearly increase in IRI</t>
  </si>
  <si>
    <r>
      <rPr>
        <sz val="11"/>
        <color theme="1"/>
        <rFont val="Times New Roman"/>
        <family val="1"/>
      </rPr>
      <t>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IRI</t>
    </r>
    <r>
      <rPr>
        <vertAlign val="subscript"/>
        <sz val="11"/>
        <color theme="1"/>
        <rFont val="Calibri"/>
        <family val="2"/>
        <scheme val="minor"/>
      </rPr>
      <t>in</t>
    </r>
  </si>
  <si>
    <t>maximum accepted IRI</t>
  </si>
  <si>
    <r>
      <t>IRI</t>
    </r>
    <r>
      <rPr>
        <vertAlign val="subscript"/>
        <sz val="11"/>
        <color theme="1"/>
        <rFont val="Calibri"/>
        <family val="2"/>
        <scheme val="minor"/>
      </rPr>
      <t>fin</t>
    </r>
  </si>
  <si>
    <t>road life</t>
  </si>
  <si>
    <t>yearly IRI</t>
  </si>
  <si>
    <t>(kg/vehicle)</t>
  </si>
  <si>
    <t>yearly heavy vehicles per direction</t>
  </si>
  <si>
    <t>USE PHASE</t>
  </si>
  <si>
    <t>years between maint.</t>
  </si>
  <si>
    <t>rounded years between maint.</t>
  </si>
  <si>
    <t>rounded no. of maint. operations in life</t>
  </si>
  <si>
    <t>no. of maint. operations in life</t>
  </si>
  <si>
    <t>last maint. operation time span</t>
  </si>
  <si>
    <t>LIGHTING INFORMATION</t>
  </si>
  <si>
    <t>LED 180 W</t>
  </si>
  <si>
    <t>(h)</t>
  </si>
  <si>
    <t>lighting type</t>
  </si>
  <si>
    <t>(kg/h)</t>
  </si>
  <si>
    <t>LIGHTING</t>
  </si>
  <si>
    <r>
      <t>emission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</si>
  <si>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distance between two lighting poles</t>
  </si>
  <si>
    <t>illumination on both sides?</t>
  </si>
  <si>
    <t>1 (no)      2 (yes)</t>
  </si>
  <si>
    <t>working hours</t>
  </si>
  <si>
    <t>hourly carbon dioxide emission</t>
  </si>
  <si>
    <t>daily no. working hours</t>
  </si>
  <si>
    <t>life span working hours</t>
  </si>
  <si>
    <t>no. of lighting poles on one road side</t>
  </si>
  <si>
    <t>total no. lighting poles</t>
  </si>
  <si>
    <t>choose "asphalt concrete"</t>
  </si>
  <si>
    <t>PRODUCTION</t>
  </si>
  <si>
    <t>MATERIAL QUANTITY (from CONSTRUCTION phase)</t>
  </si>
  <si>
    <t>binder layer material mass</t>
  </si>
  <si>
    <t>wearing layer material mass</t>
  </si>
  <si>
    <t>base layer material mass</t>
  </si>
  <si>
    <t>subbase layer material mass</t>
  </si>
  <si>
    <t>HMA</t>
  </si>
  <si>
    <t>PCC</t>
  </si>
  <si>
    <t>gravel</t>
  </si>
  <si>
    <t>sand</t>
  </si>
  <si>
    <t>asphalt rubber</t>
  </si>
  <si>
    <t>(kg equiv./kg)</t>
  </si>
  <si>
    <r>
      <t>(kg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equiv./kg)</t>
    </r>
  </si>
  <si>
    <t>emission equivalent for production</t>
  </si>
  <si>
    <t>wearing layer type</t>
  </si>
  <si>
    <t>base layer type</t>
  </si>
  <si>
    <t>subbase layer type</t>
  </si>
  <si>
    <t>emission for producing wearing layer</t>
  </si>
  <si>
    <t>emission for producing binder layer</t>
  </si>
  <si>
    <t>emission for producing base layer</t>
  </si>
  <si>
    <t>emission for producing subbase layer</t>
  </si>
  <si>
    <r>
      <t>CO</t>
    </r>
    <r>
      <rPr>
        <vertAlign val="subscript"/>
        <sz val="11"/>
        <color theme="1"/>
        <rFont val="Calibri"/>
        <family val="2"/>
        <scheme val="minor"/>
      </rPr>
      <t>2, wearing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</si>
  <si>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binder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</si>
  <si>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base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</si>
  <si>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subbase</t>
    </r>
  </si>
  <si>
    <t>medium off-road dumper</t>
  </si>
  <si>
    <t>heavy off-road dumper</t>
  </si>
  <si>
    <t>1.0 - 1.5</t>
  </si>
  <si>
    <t>1.5 - 2-0</t>
  </si>
  <si>
    <t>PRODUCTION PHASE</t>
  </si>
  <si>
    <t>CONSTRUCTION PHASE</t>
  </si>
  <si>
    <t>BINDING AGENT SPREADER</t>
  </si>
  <si>
    <t>vehicle</t>
  </si>
  <si>
    <t>vehicle type</t>
  </si>
  <si>
    <t>CHARACTERIZATION OF BINDING AGENT SPREADER</t>
  </si>
  <si>
    <t>agent spreader</t>
  </si>
  <si>
    <r>
      <t>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/h)</t>
    </r>
  </si>
  <si>
    <t>100 - 200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</si>
  <si>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/h)</t>
    </r>
  </si>
  <si>
    <t>(l/h)</t>
  </si>
  <si>
    <t>1 -3</t>
  </si>
  <si>
    <t>volume to be treated</t>
  </si>
  <si>
    <t>working hours binding agent spreader</t>
  </si>
  <si>
    <t>BINDING AGENT MIXER</t>
  </si>
  <si>
    <t>CHARACTERIZATION OF BINDING AGENT MIXER</t>
  </si>
  <si>
    <t>agent mixer</t>
  </si>
  <si>
    <r>
      <t>P</t>
    </r>
    <r>
      <rPr>
        <vertAlign val="subscript"/>
        <sz val="11"/>
        <color theme="1"/>
        <rFont val="Calibri"/>
        <family val="2"/>
        <scheme val="minor"/>
      </rPr>
      <t>as</t>
    </r>
  </si>
  <si>
    <r>
      <t>I</t>
    </r>
    <r>
      <rPr>
        <vertAlign val="subscript"/>
        <sz val="11"/>
        <color theme="1"/>
        <rFont val="Calibri"/>
        <family val="2"/>
        <scheme val="minor"/>
      </rPr>
      <t>as</t>
    </r>
  </si>
  <si>
    <r>
      <t>I</t>
    </r>
    <r>
      <rPr>
        <vertAlign val="subscript"/>
        <sz val="11"/>
        <color theme="1"/>
        <rFont val="Calibri"/>
        <family val="2"/>
        <scheme val="minor"/>
      </rPr>
      <t>am</t>
    </r>
  </si>
  <si>
    <t>thickness to be treated</t>
  </si>
  <si>
    <t>TACK COAT AGENT SPREADER</t>
  </si>
  <si>
    <t>working hours binding agent mixer</t>
  </si>
  <si>
    <t>SEAL COAT AGENT SPREADER</t>
  </si>
  <si>
    <t>MILLING MACHINE</t>
  </si>
  <si>
    <t>CHARACTERIZATION OF MILLING MACHINE</t>
  </si>
  <si>
    <t>milling machine</t>
  </si>
  <si>
    <t>70 - 90</t>
  </si>
  <si>
    <t>700 - 900</t>
  </si>
  <si>
    <t>1000 - 1500</t>
  </si>
  <si>
    <t>30 - 50</t>
  </si>
  <si>
    <t>yearly light vehicles per direction</t>
  </si>
  <si>
    <t>car</t>
  </si>
  <si>
    <t>CUT TERRAIN TYPE (up to 5 layers)</t>
  </si>
  <si>
    <t>FILL TERRAIN TYPE (up to 5 layers)</t>
  </si>
  <si>
    <t>SUBGRADE TERRAIN TYPE (to be compacted)</t>
  </si>
  <si>
    <r>
      <t>Pr</t>
    </r>
    <r>
      <rPr>
        <vertAlign val="subscript"/>
        <sz val="11"/>
        <color theme="1"/>
        <rFont val="Calibri"/>
        <family val="2"/>
        <scheme val="minor"/>
      </rPr>
      <t>am</t>
    </r>
  </si>
  <si>
    <r>
      <t>Pr</t>
    </r>
    <r>
      <rPr>
        <vertAlign val="subscript"/>
        <sz val="11"/>
        <color theme="1"/>
        <rFont val="Calibri"/>
        <family val="2"/>
        <scheme val="minor"/>
      </rPr>
      <t>as</t>
    </r>
  </si>
  <si>
    <t>warning</t>
  </si>
  <si>
    <t>COLORS</t>
  </si>
  <si>
    <t>1 PRD</t>
  </si>
  <si>
    <t>production</t>
  </si>
  <si>
    <t>2 CUT</t>
  </si>
  <si>
    <t>cut existing terrain</t>
  </si>
  <si>
    <t>2 FILL</t>
  </si>
  <si>
    <t>fill existing terrain</t>
  </si>
  <si>
    <t>2 SBGR</t>
  </si>
  <si>
    <t>2 SBBS</t>
  </si>
  <si>
    <t>2 BASE</t>
  </si>
  <si>
    <t>2 BIND</t>
  </si>
  <si>
    <t>3 ROLL</t>
  </si>
  <si>
    <t>3 MNTN</t>
  </si>
  <si>
    <t>3 ALB</t>
  </si>
  <si>
    <t>3 LGT</t>
  </si>
  <si>
    <t>maintenance operations</t>
  </si>
  <si>
    <t>lighting</t>
  </si>
  <si>
    <t>WORKSHEETS</t>
  </si>
  <si>
    <t>2 WEAR</t>
  </si>
  <si>
    <t>subgrade layer preparation</t>
  </si>
  <si>
    <t>subbase layer creation</t>
  </si>
  <si>
    <t>base layer creation</t>
  </si>
  <si>
    <t>binder layer creation</t>
  </si>
  <si>
    <t>wearing layer creation</t>
  </si>
  <si>
    <r>
      <t>TOTAL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</t>
    </r>
  </si>
  <si>
    <t>(t)</t>
  </si>
  <si>
    <t>(/)</t>
  </si>
  <si>
    <t>fuel consumption per h</t>
  </si>
  <si>
    <t>roughness rolling resistance</t>
  </si>
  <si>
    <r>
      <t>each worksheet assesses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</t>
    </r>
  </si>
  <si>
    <t>total subbase volume</t>
  </si>
  <si>
    <t>total base volume</t>
  </si>
  <si>
    <t>carbon dioxide emission</t>
  </si>
  <si>
    <t>total wearing layer volume</t>
  </si>
  <si>
    <t>heavy vehicle type</t>
  </si>
  <si>
    <t>light vehicle type</t>
  </si>
  <si>
    <t>diesel</t>
  </si>
  <si>
    <t>electric</t>
  </si>
  <si>
    <t>yearly grow rate</t>
  </si>
  <si>
    <r>
      <t>p</t>
    </r>
    <r>
      <rPr>
        <vertAlign val="subscript"/>
        <sz val="11"/>
        <color theme="1"/>
        <rFont val="Calibri"/>
        <family val="2"/>
        <scheme val="minor"/>
      </rPr>
      <t>hv</t>
    </r>
  </si>
  <si>
    <r>
      <t>p</t>
    </r>
    <r>
      <rPr>
        <vertAlign val="subscript"/>
        <sz val="11"/>
        <color theme="1"/>
        <rFont val="Calibri"/>
        <family val="2"/>
        <scheme val="minor"/>
      </rPr>
      <t>lv</t>
    </r>
  </si>
  <si>
    <r>
      <t>p</t>
    </r>
    <r>
      <rPr>
        <vertAlign val="subscript"/>
        <sz val="11"/>
        <color theme="1"/>
        <rFont val="Calibri"/>
        <family val="2"/>
        <scheme val="minor"/>
      </rPr>
      <t>lv,el</t>
    </r>
  </si>
  <si>
    <t>emission factor for diesel, heavy vehicles</t>
  </si>
  <si>
    <t>emission factor for diesel, light vehicles</t>
  </si>
  <si>
    <t>carbon dioxide emission, heavy vehicles</t>
  </si>
  <si>
    <t>carbon dioxide emission, light vehicles</t>
  </si>
  <si>
    <t>heavy vehicle</t>
  </si>
  <si>
    <t>light vehicle</t>
  </si>
  <si>
    <t>diesel hybrid</t>
  </si>
  <si>
    <t>light vehicle type, hybrid</t>
  </si>
  <si>
    <t>MAINTENANCE INFORMATION</t>
  </si>
  <si>
    <t>TRAFFIC INFORMATION</t>
  </si>
  <si>
    <t>light vehicle type, electric</t>
  </si>
  <si>
    <r>
      <t>p</t>
    </r>
    <r>
      <rPr>
        <vertAlign val="subscript"/>
        <sz val="11"/>
        <color theme="1"/>
        <rFont val="Calibri"/>
        <family val="2"/>
        <scheme val="minor"/>
      </rPr>
      <t>lv,hy</t>
    </r>
  </si>
  <si>
    <r>
      <t>I</t>
    </r>
    <r>
      <rPr>
        <vertAlign val="subscript"/>
        <sz val="11"/>
        <color theme="1"/>
        <rFont val="Calibri"/>
        <family val="2"/>
        <scheme val="minor"/>
      </rPr>
      <t>hv</t>
    </r>
  </si>
  <si>
    <r>
      <t>I</t>
    </r>
    <r>
      <rPr>
        <vertAlign val="subscript"/>
        <sz val="11"/>
        <color theme="1"/>
        <rFont val="Calibri"/>
        <family val="2"/>
        <scheme val="minor"/>
      </rPr>
      <t>lv</t>
    </r>
  </si>
  <si>
    <r>
      <t>I</t>
    </r>
    <r>
      <rPr>
        <vertAlign val="subscript"/>
        <sz val="11"/>
        <color theme="1"/>
        <rFont val="Calibri"/>
        <family val="2"/>
        <scheme val="minor"/>
      </rPr>
      <t>lv,hy</t>
    </r>
  </si>
  <si>
    <r>
      <t>I</t>
    </r>
    <r>
      <rPr>
        <vertAlign val="subscript"/>
        <sz val="11"/>
        <color theme="1"/>
        <rFont val="Calibri"/>
        <family val="2"/>
        <scheme val="minor"/>
      </rPr>
      <t>lv,el</t>
    </r>
  </si>
  <si>
    <t>light vehicle, hybrid</t>
  </si>
  <si>
    <t>light vehicle, electric</t>
  </si>
  <si>
    <t>yearly number of vehicles</t>
  </si>
  <si>
    <r>
      <t>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</t>
    </r>
  </si>
  <si>
    <t>FCF</t>
  </si>
  <si>
    <t>light vehicles (diesel)</t>
  </si>
  <si>
    <t>heavy vehicles (diesel)</t>
  </si>
  <si>
    <t>light vehicles (hybrid)</t>
  </si>
  <si>
    <t>light vehicles (electric)</t>
  </si>
  <si>
    <t>emission factor for electricity, light vehicles</t>
  </si>
  <si>
    <r>
      <t>EF</t>
    </r>
    <r>
      <rPr>
        <vertAlign val="subscript"/>
        <sz val="11"/>
        <color theme="1"/>
        <rFont val="Calibri"/>
        <family val="2"/>
        <scheme val="minor"/>
      </rPr>
      <t>diesel, hv</t>
    </r>
  </si>
  <si>
    <r>
      <t>EF</t>
    </r>
    <r>
      <rPr>
        <vertAlign val="subscript"/>
        <sz val="11"/>
        <color theme="1"/>
        <rFont val="Calibri"/>
        <family val="2"/>
        <scheme val="minor"/>
      </rPr>
      <t>diesel, lv</t>
    </r>
  </si>
  <si>
    <r>
      <t>EF</t>
    </r>
    <r>
      <rPr>
        <vertAlign val="subscript"/>
        <sz val="11"/>
        <color theme="1"/>
        <rFont val="Calibri"/>
        <family val="2"/>
        <scheme val="minor"/>
      </rPr>
      <t>electric, lv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</si>
  <si>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hv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</si>
  <si>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lv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</si>
  <si>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hy</t>
    </r>
  </si>
  <si>
    <r>
      <t>CO</t>
    </r>
    <r>
      <rPr>
        <vertAlign val="subscript"/>
        <sz val="11"/>
        <color theme="1"/>
        <rFont val="Calibri"/>
        <family val="2"/>
        <scheme val="minor"/>
      </rPr>
      <t>2, el</t>
    </r>
  </si>
  <si>
    <t>carbon dioxide emission, light vehicles, hybrid</t>
  </si>
  <si>
    <t>carbon dioxide emission, light vehicles, electric</t>
  </si>
  <si>
    <t>TOP (WEARING+BINDER) LAYER TYPE</t>
  </si>
  <si>
    <t>top layer to replace width</t>
  </si>
  <si>
    <t>top layer to replace thickness</t>
  </si>
  <si>
    <r>
      <t>Pr</t>
    </r>
    <r>
      <rPr>
        <vertAlign val="subscript"/>
        <sz val="11"/>
        <color theme="1"/>
        <rFont val="Calibri"/>
        <family val="2"/>
        <scheme val="minor"/>
      </rPr>
      <t>mm</t>
    </r>
  </si>
  <si>
    <r>
      <t>I</t>
    </r>
    <r>
      <rPr>
        <vertAlign val="subscript"/>
        <sz val="11"/>
        <color theme="1"/>
        <rFont val="Calibri"/>
        <family val="2"/>
        <scheme val="minor"/>
      </rPr>
      <t>mm</t>
    </r>
  </si>
  <si>
    <t>total top layer volume</t>
  </si>
  <si>
    <t>total fuel consumption milling machine</t>
  </si>
  <si>
    <r>
      <t>FC</t>
    </r>
    <r>
      <rPr>
        <vertAlign val="subscript"/>
        <sz val="11"/>
        <color theme="1"/>
        <rFont val="Calibri"/>
        <family val="2"/>
        <scheme val="minor"/>
      </rPr>
      <t>mm</t>
    </r>
  </si>
  <si>
    <t>total carbon dioxide emission, double for transport of old and new material</t>
  </si>
  <si>
    <r>
      <rPr>
        <sz val="11"/>
        <color theme="1"/>
        <rFont val="Calibri"/>
        <family val="2"/>
        <scheme val="minor"/>
      </rPr>
      <t>Δα</t>
    </r>
  </si>
  <si>
    <t>albedo road surface</t>
  </si>
  <si>
    <t>mean albedo earth system</t>
  </si>
  <si>
    <r>
      <t>α</t>
    </r>
    <r>
      <rPr>
        <vertAlign val="subscript"/>
        <sz val="11"/>
        <color theme="1"/>
        <rFont val="Calibri"/>
        <family val="2"/>
        <scheme val="minor"/>
      </rPr>
      <t>road</t>
    </r>
  </si>
  <si>
    <r>
      <t>α</t>
    </r>
    <r>
      <rPr>
        <vertAlign val="subscript"/>
        <sz val="11"/>
        <color theme="1"/>
        <rFont val="Calibri"/>
        <family val="2"/>
        <scheme val="minor"/>
      </rPr>
      <t>earth</t>
    </r>
  </si>
  <si>
    <t>difference in albedo</t>
  </si>
  <si>
    <r>
      <rPr>
        <sz val="11"/>
        <color theme="1"/>
        <rFont val="Calibri"/>
        <family val="2"/>
        <scheme val="minor"/>
      </rPr>
      <t>Δ</t>
    </r>
    <r>
      <rPr>
        <sz val="11"/>
        <color theme="1"/>
        <rFont val="Calibri"/>
        <family val="2"/>
        <scheme val="minor"/>
      </rPr>
      <t>RF</t>
    </r>
  </si>
  <si>
    <t>positive Δ increases CO2 emission, negative Δ decreases CO2 emission</t>
  </si>
  <si>
    <r>
      <t>change in radiative force per 0.01</t>
    </r>
    <r>
      <rPr>
        <sz val="11"/>
        <color theme="1"/>
        <rFont val="Calibri"/>
        <family val="2"/>
        <scheme val="minor"/>
      </rPr>
      <t>α</t>
    </r>
    <r>
      <rPr>
        <sz val="11"/>
        <color theme="1"/>
        <rFont val="Calibri"/>
        <family val="2"/>
        <scheme val="minor"/>
      </rPr>
      <t xml:space="preserve"> variation</t>
    </r>
  </si>
  <si>
    <t>TOP LAYER INFORMATION</t>
  </si>
  <si>
    <r>
      <t>cells for the CO</t>
    </r>
    <r>
      <rPr>
        <i/>
        <vertAlign val="sub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 xml:space="preserve"> outputs</t>
    </r>
  </si>
  <si>
    <t>cells for the inputs</t>
  </si>
  <si>
    <t>LEGEND</t>
  </si>
  <si>
    <t>RES</t>
  </si>
  <si>
    <t>RESULTS</t>
  </si>
  <si>
    <r>
      <t>TOTAL 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EMISSIONS (t)</t>
    </r>
  </si>
  <si>
    <t>ROLL</t>
  </si>
  <si>
    <t>MNTN</t>
  </si>
  <si>
    <t>ALB</t>
  </si>
  <si>
    <t>LGT</t>
  </si>
  <si>
    <t>CHARACTERIZATION OF TRANSPORT VEHICLES (TRUCKS AND DUMPERS)</t>
  </si>
  <si>
    <t>CMH-250W</t>
  </si>
  <si>
    <t>LED-180W</t>
  </si>
  <si>
    <t>NEED TO CUT?</t>
  </si>
  <si>
    <t>need to cut?</t>
  </si>
  <si>
    <t>need to fill?</t>
  </si>
  <si>
    <t>NEED TO FILL?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</si>
</sst>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1"/>
    </font>
    <font>
      <vertAlign val="subscript"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scheme val="minor"/>
    </font>
    <font>
      <b/>
      <vertAlign val="sub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1" fontId="2" fillId="5" borderId="0" xfId="0" applyNumberFormat="1" applyFont="1" applyFill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11" fontId="0" fillId="0" borderId="0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1" fontId="0" fillId="0" borderId="7" xfId="0" applyNumberFormat="1" applyFont="1" applyBorder="1" applyAlignment="1">
      <alignment horizontal="center" vertical="center"/>
    </xf>
    <xf numFmtId="11" fontId="0" fillId="0" borderId="6" xfId="0" applyNumberFormat="1" applyFont="1" applyBorder="1" applyAlignment="1">
      <alignment horizontal="center" vertical="center"/>
    </xf>
    <xf numFmtId="11" fontId="0" fillId="0" borderId="2" xfId="0" applyNumberFormat="1" applyFont="1" applyBorder="1" applyAlignment="1">
      <alignment horizontal="center" vertical="center"/>
    </xf>
    <xf numFmtId="11" fontId="0" fillId="0" borderId="3" xfId="0" applyNumberFormat="1" applyFont="1" applyBorder="1" applyAlignment="1">
      <alignment horizontal="center" vertical="center"/>
    </xf>
    <xf numFmtId="11" fontId="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RES!$F$4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(RES!$C$4,RES!$C$7,RES!$C$17)</c:f>
              <c:strCache>
                <c:ptCount val="3"/>
                <c:pt idx="0">
                  <c:v>PRODUCTION PHASE</c:v>
                </c:pt>
                <c:pt idx="1">
                  <c:v>CONSTRUCTION PHASE</c:v>
                </c:pt>
                <c:pt idx="2">
                  <c:v>USE PHASE</c:v>
                </c:pt>
              </c:strCache>
            </c:strRef>
          </c:cat>
          <c:val>
            <c:numRef>
              <c:f>(RES!$C$5,RES!$C$15,RES!$C$22)</c:f>
              <c:numCache>
                <c:formatCode>0.00E+00</c:formatCode>
                <c:ptCount val="3"/>
                <c:pt idx="0">
                  <c:v>141.08939999999998</c:v>
                </c:pt>
                <c:pt idx="1">
                  <c:v>173.749117256266</c:v>
                </c:pt>
                <c:pt idx="2">
                  <c:v>4896872.171691088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F-42B6-AB9F-D1DEFC7E3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9422224"/>
        <c:axId val="549428456"/>
        <c:axId val="0"/>
      </c:bar3DChart>
      <c:catAx>
        <c:axId val="54942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549428456"/>
        <c:crosses val="autoZero"/>
        <c:auto val="1"/>
        <c:lblAlgn val="ctr"/>
        <c:lblOffset val="100"/>
        <c:noMultiLvlLbl val="0"/>
      </c:catAx>
      <c:valAx>
        <c:axId val="549428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 sz="1600">
                    <a:solidFill>
                      <a:schemeClr val="tx1"/>
                    </a:solidFill>
                  </a:rPr>
                  <a:t>CO</a:t>
                </a:r>
                <a:r>
                  <a:rPr lang="nb-NO" sz="1600" baseline="-25000">
                    <a:solidFill>
                      <a:schemeClr val="tx1"/>
                    </a:solidFill>
                  </a:rPr>
                  <a:t>2</a:t>
                </a:r>
                <a:r>
                  <a:rPr lang="nb-NO" sz="1600" baseline="0">
                    <a:solidFill>
                      <a:schemeClr val="tx1"/>
                    </a:solidFill>
                  </a:rPr>
                  <a:t> emissions (t)</a:t>
                </a:r>
                <a:endParaRPr lang="nb-NO" sz="16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3.7777723604982806E-2"/>
              <c:y val="0.2499232040439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549422224"/>
        <c:crosses val="autoZero"/>
        <c:crossBetween val="between"/>
        <c:majorUnit val="1500000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351816258476344"/>
          <c:y val="4.4033941614206672E-2"/>
          <c:w val="0.7937883531255604"/>
          <c:h val="0.81030854903142424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RES!$F$17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RES!$B$18:$B$21</c:f>
              <c:strCache>
                <c:ptCount val="4"/>
                <c:pt idx="0">
                  <c:v>MNTN</c:v>
                </c:pt>
                <c:pt idx="1">
                  <c:v>LGT</c:v>
                </c:pt>
                <c:pt idx="2">
                  <c:v>ALB</c:v>
                </c:pt>
                <c:pt idx="3">
                  <c:v>ROLL</c:v>
                </c:pt>
              </c:strCache>
            </c:strRef>
          </c:cat>
          <c:val>
            <c:numRef>
              <c:f>RES!$C$18:$C$21</c:f>
              <c:numCache>
                <c:formatCode>0.00E+00</c:formatCode>
                <c:ptCount val="4"/>
                <c:pt idx="0">
                  <c:v>16.918861554142609</c:v>
                </c:pt>
                <c:pt idx="1">
                  <c:v>357.7</c:v>
                </c:pt>
                <c:pt idx="2">
                  <c:v>20975.854076965483</c:v>
                </c:pt>
                <c:pt idx="3">
                  <c:v>4875521.6987525681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2-48FA-AB1E-6E6B50369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157336"/>
        <c:axId val="458159960"/>
        <c:axId val="0"/>
      </c:bar3DChart>
      <c:catAx>
        <c:axId val="45815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458159960"/>
        <c:crosses val="autoZero"/>
        <c:auto val="1"/>
        <c:lblAlgn val="ctr"/>
        <c:lblOffset val="100"/>
        <c:noMultiLvlLbl val="0"/>
      </c:catAx>
      <c:valAx>
        <c:axId val="458159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 sz="1600"/>
                  <a:t>CO</a:t>
                </a:r>
                <a:r>
                  <a:rPr lang="nb-NO" sz="1600" baseline="-25000"/>
                  <a:t>2</a:t>
                </a:r>
                <a:r>
                  <a:rPr lang="nb-NO" sz="1600"/>
                  <a:t> emisssions (t)</a:t>
                </a:r>
              </a:p>
            </c:rich>
          </c:tx>
          <c:layout>
            <c:manualLayout>
              <c:xMode val="edge"/>
              <c:yMode val="edge"/>
              <c:x val="3.4242307282447954E-2"/>
              <c:y val="0.23066994462856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458157336"/>
        <c:crosses val="autoZero"/>
        <c:crossBetween val="between"/>
        <c:majorUnit val="1000000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48610303776496"/>
          <c:y val="4.2096681867645314E-2"/>
          <c:w val="0.80753236521834648"/>
          <c:h val="0.818653966197296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RES!$F$4</c:f>
              <c:strCache>
                <c:ptCount val="1"/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(RES!$C$4,RES!$C$7,RES!$C$17)</c:f>
              <c:strCache>
                <c:ptCount val="3"/>
                <c:pt idx="0">
                  <c:v>PRODUCTION PHASE</c:v>
                </c:pt>
                <c:pt idx="1">
                  <c:v>CONSTRUCTION PHASE</c:v>
                </c:pt>
                <c:pt idx="2">
                  <c:v>USE PHASE</c:v>
                </c:pt>
              </c:strCache>
            </c:strRef>
          </c:cat>
          <c:val>
            <c:numRef>
              <c:f>(RES!$C$5,RES!$C$15,RES!$C$22)</c:f>
              <c:numCache>
                <c:formatCode>0.00E+00</c:formatCode>
                <c:ptCount val="3"/>
                <c:pt idx="0">
                  <c:v>141.08939999999998</c:v>
                </c:pt>
                <c:pt idx="1">
                  <c:v>173.749117256266</c:v>
                </c:pt>
                <c:pt idx="2">
                  <c:v>4896872.171691088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C-47BA-94CF-39B3819B9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9422224"/>
        <c:axId val="549428456"/>
      </c:barChart>
      <c:catAx>
        <c:axId val="54942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549428456"/>
        <c:crosses val="autoZero"/>
        <c:auto val="1"/>
        <c:lblAlgn val="ctr"/>
        <c:lblOffset val="100"/>
        <c:tickMarkSkip val="1"/>
        <c:noMultiLvlLbl val="0"/>
      </c:catAx>
      <c:valAx>
        <c:axId val="5494284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 sz="1600">
                    <a:solidFill>
                      <a:schemeClr val="tx1"/>
                    </a:solidFill>
                  </a:rPr>
                  <a:t>CO</a:t>
                </a:r>
                <a:r>
                  <a:rPr lang="nb-NO" sz="1600" baseline="-25000">
                    <a:solidFill>
                      <a:schemeClr val="tx1"/>
                    </a:solidFill>
                  </a:rPr>
                  <a:t>2</a:t>
                </a:r>
                <a:r>
                  <a:rPr lang="nb-NO" sz="1600" baseline="0">
                    <a:solidFill>
                      <a:schemeClr val="tx1"/>
                    </a:solidFill>
                  </a:rPr>
                  <a:t> emissions (t)</a:t>
                </a:r>
                <a:endParaRPr lang="nb-NO" sz="160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3245658701134642E-2"/>
              <c:y val="0.24992321707777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549422224"/>
        <c:crosses val="autoZero"/>
        <c:crossBetween val="between"/>
        <c:majorUnit val="10"/>
        <c:minorUnit val="10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51816258476344"/>
          <c:y val="4.4033941614206672E-2"/>
          <c:w val="0.7937883531255604"/>
          <c:h val="0.8103085490314242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RES!$F$17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RES!$B$18:$B$21</c:f>
              <c:strCache>
                <c:ptCount val="4"/>
                <c:pt idx="0">
                  <c:v>MNTN</c:v>
                </c:pt>
                <c:pt idx="1">
                  <c:v>LGT</c:v>
                </c:pt>
                <c:pt idx="2">
                  <c:v>ALB</c:v>
                </c:pt>
                <c:pt idx="3">
                  <c:v>ROLL</c:v>
                </c:pt>
              </c:strCache>
            </c:strRef>
          </c:cat>
          <c:val>
            <c:numRef>
              <c:f>RES!$C$18:$C$21</c:f>
              <c:numCache>
                <c:formatCode>0.00E+00</c:formatCode>
                <c:ptCount val="4"/>
                <c:pt idx="0">
                  <c:v>16.918861554142609</c:v>
                </c:pt>
                <c:pt idx="1">
                  <c:v>357.7</c:v>
                </c:pt>
                <c:pt idx="2">
                  <c:v>20975.854076965483</c:v>
                </c:pt>
                <c:pt idx="3">
                  <c:v>4875521.6987525681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7-4ACD-8B34-C6EC1C932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8157336"/>
        <c:axId val="458159960"/>
      </c:barChart>
      <c:catAx>
        <c:axId val="458157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458159960"/>
        <c:crosses val="autoZero"/>
        <c:auto val="1"/>
        <c:lblAlgn val="ctr"/>
        <c:lblOffset val="100"/>
        <c:noMultiLvlLbl val="0"/>
      </c:catAx>
      <c:valAx>
        <c:axId val="458159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 sz="1600"/>
                  <a:t>CO</a:t>
                </a:r>
                <a:r>
                  <a:rPr lang="nb-NO" sz="1600" baseline="-25000"/>
                  <a:t>2</a:t>
                </a:r>
                <a:r>
                  <a:rPr lang="nb-NO" sz="1600"/>
                  <a:t> emisssions (t)</a:t>
                </a:r>
              </a:p>
            </c:rich>
          </c:tx>
          <c:layout>
            <c:manualLayout>
              <c:xMode val="edge"/>
              <c:yMode val="edge"/>
              <c:x val="3.4242307282447954E-2"/>
              <c:y val="0.23066994462856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458157336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19050</xdr:rowOff>
    </xdr:from>
    <xdr:to>
      <xdr:col>13</xdr:col>
      <xdr:colOff>825500</xdr:colOff>
      <xdr:row>19</xdr:row>
      <xdr:rowOff>165100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FBE627F-4978-4D05-8ED5-C209AF7D2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24944</xdr:colOff>
      <xdr:row>21</xdr:row>
      <xdr:rowOff>16782</xdr:rowOff>
    </xdr:from>
    <xdr:to>
      <xdr:col>13</xdr:col>
      <xdr:colOff>855434</xdr:colOff>
      <xdr:row>40</xdr:row>
      <xdr:rowOff>171450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11C4D22-29BA-4C3C-9DCC-B0720D3BC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49093</xdr:colOff>
      <xdr:row>1</xdr:row>
      <xdr:rowOff>21344</xdr:rowOff>
    </xdr:from>
    <xdr:to>
      <xdr:col>22</xdr:col>
      <xdr:colOff>869843</xdr:colOff>
      <xdr:row>19</xdr:row>
      <xdr:rowOff>172731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F64B6002-C3C9-41A6-B992-003641772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22412</xdr:colOff>
      <xdr:row>21</xdr:row>
      <xdr:rowOff>7471</xdr:rowOff>
    </xdr:from>
    <xdr:to>
      <xdr:col>22</xdr:col>
      <xdr:colOff>852902</xdr:colOff>
      <xdr:row>40</xdr:row>
      <xdr:rowOff>162139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3D1D8A18-A00A-4173-B84F-5D2B3B1A9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6350</xdr:colOff>
      <xdr:row>11</xdr:row>
      <xdr:rowOff>12699</xdr:rowOff>
    </xdr:from>
    <xdr:to>
      <xdr:col>10</xdr:col>
      <xdr:colOff>474291</xdr:colOff>
      <xdr:row>39</xdr:row>
      <xdr:rowOff>171450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928650D9-2E05-4744-9ED0-AB386335A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1854199"/>
          <a:ext cx="3115891" cy="53149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19658</xdr:colOff>
      <xdr:row>11</xdr:row>
      <xdr:rowOff>12699</xdr:rowOff>
    </xdr:from>
    <xdr:to>
      <xdr:col>10</xdr:col>
      <xdr:colOff>422883</xdr:colOff>
      <xdr:row>39</xdr:row>
      <xdr:rowOff>171450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DBD69D3-5DC2-4E1F-891C-255449309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6108" y="1301749"/>
          <a:ext cx="3051175" cy="531495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A63-845A-463D-A849-15317B091382}">
  <dimension ref="B1:E28"/>
  <sheetViews>
    <sheetView tabSelected="1" zoomScale="55" zoomScaleNormal="55" workbookViewId="0"/>
  </sheetViews>
  <sheetFormatPr baseColWidth="10" defaultColWidth="12.6328125" defaultRowHeight="14.5" x14ac:dyDescent="0.35"/>
  <cols>
    <col min="1" max="16384" width="12.6328125" style="1"/>
  </cols>
  <sheetData>
    <row r="1" spans="2:5" s="97" customFormat="1" x14ac:dyDescent="0.35"/>
    <row r="2" spans="2:5" s="97" customFormat="1" x14ac:dyDescent="0.35">
      <c r="B2" s="121" t="s">
        <v>631</v>
      </c>
      <c r="C2" s="121"/>
      <c r="D2" s="121"/>
      <c r="E2" s="121"/>
    </row>
    <row r="3" spans="2:5" s="64" customFormat="1" x14ac:dyDescent="0.35"/>
    <row r="4" spans="2:5" s="64" customFormat="1" x14ac:dyDescent="0.35">
      <c r="B4" s="121" t="s">
        <v>550</v>
      </c>
      <c r="C4" s="121"/>
      <c r="D4" s="121"/>
      <c r="E4" s="121"/>
    </row>
    <row r="5" spans="2:5" s="119" customFormat="1" x14ac:dyDescent="0.35">
      <c r="B5" s="96" t="s">
        <v>632</v>
      </c>
      <c r="C5" s="121" t="s">
        <v>633</v>
      </c>
      <c r="D5" s="121"/>
      <c r="E5" s="121"/>
    </row>
    <row r="6" spans="2:5" s="55" customFormat="1" x14ac:dyDescent="0.35">
      <c r="B6" s="65">
        <v>1</v>
      </c>
      <c r="C6" s="121" t="s">
        <v>494</v>
      </c>
      <c r="D6" s="121"/>
      <c r="E6" s="121"/>
    </row>
    <row r="7" spans="2:5" s="64" customFormat="1" x14ac:dyDescent="0.35">
      <c r="B7" s="73" t="s">
        <v>534</v>
      </c>
      <c r="C7" s="122" t="s">
        <v>535</v>
      </c>
      <c r="D7" s="122"/>
      <c r="E7" s="122"/>
    </row>
    <row r="8" spans="2:5" x14ac:dyDescent="0.35">
      <c r="B8" s="65">
        <v>2</v>
      </c>
      <c r="C8" s="121" t="s">
        <v>495</v>
      </c>
      <c r="D8" s="121"/>
      <c r="E8" s="121"/>
    </row>
    <row r="9" spans="2:5" s="64" customFormat="1" x14ac:dyDescent="0.35">
      <c r="B9" s="73" t="s">
        <v>536</v>
      </c>
      <c r="C9" s="122" t="s">
        <v>537</v>
      </c>
      <c r="D9" s="122"/>
      <c r="E9" s="122"/>
    </row>
    <row r="10" spans="2:5" s="64" customFormat="1" x14ac:dyDescent="0.35">
      <c r="B10" s="73" t="s">
        <v>538</v>
      </c>
      <c r="C10" s="122" t="s">
        <v>539</v>
      </c>
      <c r="D10" s="122"/>
      <c r="E10" s="122"/>
    </row>
    <row r="11" spans="2:5" s="64" customFormat="1" x14ac:dyDescent="0.35">
      <c r="B11" s="73" t="s">
        <v>540</v>
      </c>
      <c r="C11" s="122" t="s">
        <v>552</v>
      </c>
      <c r="D11" s="122"/>
      <c r="E11" s="122"/>
    </row>
    <row r="12" spans="2:5" s="64" customFormat="1" x14ac:dyDescent="0.35">
      <c r="B12" s="73" t="s">
        <v>541</v>
      </c>
      <c r="C12" s="122" t="s">
        <v>553</v>
      </c>
      <c r="D12" s="122"/>
      <c r="E12" s="122"/>
    </row>
    <row r="13" spans="2:5" s="64" customFormat="1" x14ac:dyDescent="0.35">
      <c r="B13" s="73" t="s">
        <v>542</v>
      </c>
      <c r="C13" s="122" t="s">
        <v>554</v>
      </c>
      <c r="D13" s="122"/>
      <c r="E13" s="122"/>
    </row>
    <row r="14" spans="2:5" s="64" customFormat="1" x14ac:dyDescent="0.35">
      <c r="B14" s="73" t="s">
        <v>543</v>
      </c>
      <c r="C14" s="122" t="s">
        <v>555</v>
      </c>
      <c r="D14" s="122"/>
      <c r="E14" s="122"/>
    </row>
    <row r="15" spans="2:5" s="64" customFormat="1" x14ac:dyDescent="0.35">
      <c r="B15" s="73" t="s">
        <v>551</v>
      </c>
      <c r="C15" s="122" t="s">
        <v>556</v>
      </c>
      <c r="D15" s="122"/>
      <c r="E15" s="122"/>
    </row>
    <row r="16" spans="2:5" x14ac:dyDescent="0.35">
      <c r="B16" s="65">
        <v>3</v>
      </c>
      <c r="C16" s="121" t="s">
        <v>442</v>
      </c>
      <c r="D16" s="121"/>
      <c r="E16" s="121"/>
    </row>
    <row r="17" spans="2:5" x14ac:dyDescent="0.35">
      <c r="B17" s="73" t="s">
        <v>544</v>
      </c>
      <c r="C17" s="122" t="s">
        <v>561</v>
      </c>
      <c r="D17" s="122"/>
      <c r="E17" s="122"/>
    </row>
    <row r="18" spans="2:5" s="64" customFormat="1" ht="14.5" customHeight="1" x14ac:dyDescent="0.35">
      <c r="B18" s="73" t="s">
        <v>545</v>
      </c>
      <c r="C18" s="122" t="s">
        <v>548</v>
      </c>
      <c r="D18" s="122"/>
      <c r="E18" s="122"/>
    </row>
    <row r="19" spans="2:5" x14ac:dyDescent="0.35">
      <c r="B19" s="73" t="s">
        <v>546</v>
      </c>
      <c r="C19" s="122" t="s">
        <v>422</v>
      </c>
      <c r="D19" s="122"/>
      <c r="E19" s="122"/>
    </row>
    <row r="20" spans="2:5" x14ac:dyDescent="0.35">
      <c r="B20" s="73" t="s">
        <v>547</v>
      </c>
      <c r="C20" s="122" t="s">
        <v>549</v>
      </c>
      <c r="D20" s="122"/>
      <c r="E20" s="122"/>
    </row>
    <row r="22" spans="2:5" ht="16.5" x14ac:dyDescent="0.35">
      <c r="B22" s="123" t="s">
        <v>562</v>
      </c>
      <c r="C22" s="123"/>
      <c r="D22" s="123"/>
      <c r="E22" s="123"/>
    </row>
    <row r="24" spans="2:5" x14ac:dyDescent="0.35">
      <c r="B24" s="121" t="s">
        <v>533</v>
      </c>
      <c r="C24" s="121"/>
      <c r="D24" s="121"/>
    </row>
    <row r="25" spans="2:5" x14ac:dyDescent="0.35">
      <c r="B25" s="69"/>
      <c r="C25" s="120" t="s">
        <v>47</v>
      </c>
      <c r="D25" s="120"/>
    </row>
    <row r="26" spans="2:5" x14ac:dyDescent="0.35">
      <c r="B26" s="70"/>
      <c r="C26" s="120" t="s">
        <v>532</v>
      </c>
      <c r="D26" s="120"/>
    </row>
    <row r="27" spans="2:5" x14ac:dyDescent="0.35">
      <c r="B27" s="71"/>
      <c r="C27" s="120" t="s">
        <v>630</v>
      </c>
      <c r="D27" s="120"/>
    </row>
    <row r="28" spans="2:5" ht="16.5" x14ac:dyDescent="0.35">
      <c r="B28" s="72"/>
      <c r="C28" s="120" t="s">
        <v>629</v>
      </c>
      <c r="D28" s="120"/>
    </row>
  </sheetData>
  <mergeCells count="24">
    <mergeCell ref="B2:E2"/>
    <mergeCell ref="C5:E5"/>
    <mergeCell ref="C20:E20"/>
    <mergeCell ref="C13:E13"/>
    <mergeCell ref="C14:E14"/>
    <mergeCell ref="C17:E17"/>
    <mergeCell ref="C18:E18"/>
    <mergeCell ref="C19:E19"/>
    <mergeCell ref="B4:E4"/>
    <mergeCell ref="C27:D27"/>
    <mergeCell ref="C28:D28"/>
    <mergeCell ref="C6:E6"/>
    <mergeCell ref="C7:E7"/>
    <mergeCell ref="C8:E8"/>
    <mergeCell ref="C9:E9"/>
    <mergeCell ref="C10:E10"/>
    <mergeCell ref="C25:D25"/>
    <mergeCell ref="C26:D26"/>
    <mergeCell ref="B24:D24"/>
    <mergeCell ref="C11:E11"/>
    <mergeCell ref="C15:E15"/>
    <mergeCell ref="C16:E16"/>
    <mergeCell ref="B22:E22"/>
    <mergeCell ref="C12:E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F5B9-47C3-42B2-ABF0-0125975B46DE}">
  <dimension ref="A2:G22"/>
  <sheetViews>
    <sheetView zoomScale="55" zoomScaleNormal="55" workbookViewId="0"/>
  </sheetViews>
  <sheetFormatPr baseColWidth="10" defaultColWidth="12.6328125" defaultRowHeight="14.5" x14ac:dyDescent="0.35"/>
  <cols>
    <col min="1" max="16384" width="12.6328125" style="97"/>
  </cols>
  <sheetData>
    <row r="2" spans="1:7" ht="14.5" customHeight="1" x14ac:dyDescent="0.35">
      <c r="B2" s="125" t="s">
        <v>634</v>
      </c>
      <c r="C2" s="125"/>
      <c r="D2" s="125"/>
      <c r="E2" s="125"/>
    </row>
    <row r="3" spans="1:7" ht="14.5" customHeight="1" x14ac:dyDescent="0.35">
      <c r="B3" s="47"/>
      <c r="C3" s="47"/>
      <c r="D3" s="47"/>
      <c r="E3" s="47"/>
    </row>
    <row r="4" spans="1:7" x14ac:dyDescent="0.35">
      <c r="B4" s="96">
        <v>1</v>
      </c>
      <c r="C4" s="121" t="s">
        <v>494</v>
      </c>
      <c r="D4" s="121"/>
      <c r="E4" s="121"/>
    </row>
    <row r="5" spans="1:7" x14ac:dyDescent="0.35">
      <c r="B5" s="95" t="s">
        <v>534</v>
      </c>
      <c r="C5" s="124">
        <f>'1 PRD'!F28</f>
        <v>141.08939999999998</v>
      </c>
      <c r="D5" s="124"/>
      <c r="E5" s="124"/>
    </row>
    <row r="6" spans="1:7" x14ac:dyDescent="0.35">
      <c r="A6" s="99"/>
      <c r="B6" s="100"/>
      <c r="C6" s="115"/>
      <c r="D6" s="115"/>
      <c r="E6" s="115"/>
      <c r="F6" s="99"/>
    </row>
    <row r="7" spans="1:7" x14ac:dyDescent="0.35">
      <c r="B7" s="96">
        <v>2</v>
      </c>
      <c r="C7" s="121" t="s">
        <v>495</v>
      </c>
      <c r="D7" s="121"/>
      <c r="E7" s="121"/>
    </row>
    <row r="8" spans="1:7" x14ac:dyDescent="0.35">
      <c r="B8" s="116" t="s">
        <v>536</v>
      </c>
      <c r="C8" s="126">
        <f>'2 CUT'!F158</f>
        <v>65.661302768577627</v>
      </c>
      <c r="D8" s="126"/>
      <c r="E8" s="126"/>
    </row>
    <row r="9" spans="1:7" x14ac:dyDescent="0.35">
      <c r="B9" s="95" t="s">
        <v>538</v>
      </c>
      <c r="C9" s="124">
        <f>'2 FILL'!F161</f>
        <v>36.758731027203723</v>
      </c>
      <c r="D9" s="124"/>
      <c r="E9" s="124"/>
      <c r="G9" s="117"/>
    </row>
    <row r="10" spans="1:7" x14ac:dyDescent="0.35">
      <c r="B10" s="95" t="s">
        <v>540</v>
      </c>
      <c r="C10" s="124">
        <f>'2 SBGR'!F74</f>
        <v>13.2566167929449</v>
      </c>
      <c r="D10" s="124"/>
      <c r="E10" s="124"/>
      <c r="G10" s="117"/>
    </row>
    <row r="11" spans="1:7" x14ac:dyDescent="0.35">
      <c r="B11" s="95" t="s">
        <v>541</v>
      </c>
      <c r="C11" s="124">
        <f>'2 SBBS'!F107</f>
        <v>38.8758166789586</v>
      </c>
      <c r="D11" s="124"/>
      <c r="E11" s="124"/>
      <c r="G11" s="117"/>
    </row>
    <row r="12" spans="1:7" x14ac:dyDescent="0.35">
      <c r="B12" s="95" t="s">
        <v>542</v>
      </c>
      <c r="C12" s="124">
        <f>'2 BASE'!F107</f>
        <v>15.29438885567167</v>
      </c>
      <c r="D12" s="124"/>
      <c r="E12" s="124"/>
    </row>
    <row r="13" spans="1:7" x14ac:dyDescent="0.35">
      <c r="B13" s="114" t="s">
        <v>543</v>
      </c>
      <c r="C13" s="127">
        <f>'2 BIND'!F124</f>
        <v>2.1555969256904346</v>
      </c>
      <c r="D13" s="127"/>
      <c r="E13" s="127"/>
    </row>
    <row r="14" spans="1:7" x14ac:dyDescent="0.35">
      <c r="B14" s="95" t="s">
        <v>551</v>
      </c>
      <c r="C14" s="124">
        <f>'2 WEAR'!F123</f>
        <v>1.7466642072190146</v>
      </c>
      <c r="D14" s="124"/>
      <c r="E14" s="124"/>
    </row>
    <row r="15" spans="1:7" x14ac:dyDescent="0.35">
      <c r="A15" s="99"/>
      <c r="B15" s="100"/>
      <c r="C15" s="128">
        <f>SUM(C8:E14)</f>
        <v>173.749117256266</v>
      </c>
      <c r="D15" s="129"/>
      <c r="E15" s="130"/>
      <c r="F15" s="99"/>
    </row>
    <row r="16" spans="1:7" x14ac:dyDescent="0.35">
      <c r="A16" s="99"/>
      <c r="B16" s="100"/>
      <c r="C16" s="115"/>
      <c r="D16" s="115"/>
      <c r="E16" s="115"/>
      <c r="F16" s="99"/>
    </row>
    <row r="17" spans="2:5" x14ac:dyDescent="0.35">
      <c r="B17" s="96">
        <v>3</v>
      </c>
      <c r="C17" s="121" t="s">
        <v>442</v>
      </c>
      <c r="D17" s="121"/>
      <c r="E17" s="121"/>
    </row>
    <row r="18" spans="2:5" x14ac:dyDescent="0.35">
      <c r="B18" s="95" t="s">
        <v>636</v>
      </c>
      <c r="C18" s="124">
        <f>'3 MNTN'!F146</f>
        <v>16.918861554142609</v>
      </c>
      <c r="D18" s="124"/>
      <c r="E18" s="124"/>
    </row>
    <row r="19" spans="2:5" ht="14.5" customHeight="1" x14ac:dyDescent="0.35">
      <c r="B19" s="95" t="s">
        <v>638</v>
      </c>
      <c r="C19" s="124">
        <f>'3 LGT'!F22</f>
        <v>357.7</v>
      </c>
      <c r="D19" s="124"/>
      <c r="E19" s="124"/>
    </row>
    <row r="20" spans="2:5" x14ac:dyDescent="0.35">
      <c r="B20" s="95" t="s">
        <v>637</v>
      </c>
      <c r="C20" s="124">
        <f>'3 ALB'!F22</f>
        <v>20975.854076965483</v>
      </c>
      <c r="D20" s="124"/>
      <c r="E20" s="124"/>
    </row>
    <row r="21" spans="2:5" x14ac:dyDescent="0.35">
      <c r="B21" s="116" t="s">
        <v>635</v>
      </c>
      <c r="C21" s="126">
        <f>'3 ROLL'!F58</f>
        <v>4875521.6987525681</v>
      </c>
      <c r="D21" s="126"/>
      <c r="E21" s="126"/>
    </row>
    <row r="22" spans="2:5" x14ac:dyDescent="0.35">
      <c r="C22" s="124">
        <f>SUM(C18:E21)</f>
        <v>4896872.171691088</v>
      </c>
      <c r="D22" s="124"/>
      <c r="E22" s="124"/>
    </row>
  </sheetData>
  <mergeCells count="18">
    <mergeCell ref="C15:E15"/>
    <mergeCell ref="C22:E22"/>
    <mergeCell ref="C21:E21"/>
    <mergeCell ref="C18:E18"/>
    <mergeCell ref="C20:E20"/>
    <mergeCell ref="C19:E19"/>
    <mergeCell ref="C17:E17"/>
    <mergeCell ref="C10:E10"/>
    <mergeCell ref="C11:E11"/>
    <mergeCell ref="C12:E12"/>
    <mergeCell ref="C13:E13"/>
    <mergeCell ref="C14:E14"/>
    <mergeCell ref="C9:E9"/>
    <mergeCell ref="B2:E2"/>
    <mergeCell ref="C4:E4"/>
    <mergeCell ref="C5:E5"/>
    <mergeCell ref="C7:E7"/>
    <mergeCell ref="C8:E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FD21-9506-4B5C-BE63-34878723D4D6}">
  <dimension ref="B2:F28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55"/>
    <col min="2" max="3" width="15.6328125" style="55" customWidth="1"/>
    <col min="4" max="4" width="12.6328125" style="55" customWidth="1"/>
    <col min="5" max="5" width="12.6328125" style="55"/>
    <col min="6" max="6" width="20.6328125" style="55" customWidth="1"/>
    <col min="7" max="9" width="12.6328125" style="55" customWidth="1"/>
    <col min="10" max="16384" width="12.6328125" style="55"/>
  </cols>
  <sheetData>
    <row r="2" spans="2:6" ht="14.5" customHeight="1" x14ac:dyDescent="0.35">
      <c r="B2" s="133" t="s">
        <v>466</v>
      </c>
      <c r="C2" s="133"/>
      <c r="D2" s="133"/>
      <c r="E2" s="133"/>
      <c r="F2" s="133"/>
    </row>
    <row r="3" spans="2:6" ht="14.5" customHeight="1" x14ac:dyDescent="0.35">
      <c r="B3" s="8"/>
      <c r="C3" s="8"/>
      <c r="D3" s="8"/>
      <c r="E3" s="8"/>
      <c r="F3" s="8"/>
    </row>
    <row r="4" spans="2:6" ht="14.5" customHeight="1" x14ac:dyDescent="0.35">
      <c r="B4" s="131" t="s">
        <v>479</v>
      </c>
      <c r="C4" s="131"/>
      <c r="D4" s="8"/>
      <c r="E4" s="57" t="s">
        <v>559</v>
      </c>
      <c r="F4" s="33" t="s">
        <v>471</v>
      </c>
    </row>
    <row r="5" spans="2:6" ht="14.5" customHeight="1" x14ac:dyDescent="0.35">
      <c r="B5" s="131" t="s">
        <v>478</v>
      </c>
      <c r="C5" s="131"/>
      <c r="D5" s="56"/>
      <c r="E5" s="56" t="s">
        <v>477</v>
      </c>
      <c r="F5" s="55">
        <f>IF(F4=prms!$AR$5,prms!$AS$5,IF('1 PRD'!F4=prms!$AR$6,prms!$AS$6,IF('1 PRD'!F4=prms!$AR$7,prms!$AS$7,IF('1 PRD'!F4=prms!$AR$8,prms!$AS$8,IF('1 PRD'!F4=prms!$AR$9,prms!$AS$9,1)))))</f>
        <v>2.3800000000000002E-2</v>
      </c>
    </row>
    <row r="6" spans="2:6" ht="14.5" customHeight="1" x14ac:dyDescent="0.35">
      <c r="B6" s="131" t="s">
        <v>468</v>
      </c>
      <c r="C6" s="131"/>
      <c r="E6" s="55" t="s">
        <v>131</v>
      </c>
      <c r="F6" s="55">
        <f>'2 WEAR'!$F$11*'2 WEAR'!$F$14</f>
        <v>1408000</v>
      </c>
    </row>
    <row r="8" spans="2:6" ht="14.5" customHeight="1" x14ac:dyDescent="0.35">
      <c r="B8" s="131" t="s">
        <v>479</v>
      </c>
      <c r="C8" s="131"/>
      <c r="D8" s="8"/>
      <c r="E8" s="87" t="s">
        <v>559</v>
      </c>
      <c r="F8" s="33" t="s">
        <v>471</v>
      </c>
    </row>
    <row r="9" spans="2:6" ht="14.5" customHeight="1" x14ac:dyDescent="0.35">
      <c r="B9" s="131" t="s">
        <v>478</v>
      </c>
      <c r="C9" s="131"/>
      <c r="D9" s="56"/>
      <c r="E9" s="56" t="s">
        <v>477</v>
      </c>
      <c r="F9" s="55">
        <f>IF(F8=prms!$AR$5,prms!$AS$5,IF('1 PRD'!F8=prms!$AR$6,prms!$AS$6,IF('1 PRD'!F8=prms!$AR$7,prms!$AS$7,IF('1 PRD'!F8=prms!$AR$8,prms!$AS$8,IF('1 PRD'!F8=prms!$AR$9,prms!$AS$9,1)))))</f>
        <v>2.3800000000000002E-2</v>
      </c>
    </row>
    <row r="10" spans="2:6" ht="14.5" customHeight="1" x14ac:dyDescent="0.35">
      <c r="B10" s="131" t="s">
        <v>467</v>
      </c>
      <c r="C10" s="131"/>
      <c r="E10" s="55" t="s">
        <v>131</v>
      </c>
      <c r="F10" s="55">
        <f>'2 BIND'!$F$11*'2 BIND'!$F$14</f>
        <v>1760000</v>
      </c>
    </row>
    <row r="11" spans="2:6" ht="14.5" customHeight="1" x14ac:dyDescent="0.35">
      <c r="D11" s="56"/>
      <c r="E11" s="56"/>
    </row>
    <row r="12" spans="2:6" ht="14.5" customHeight="1" x14ac:dyDescent="0.35">
      <c r="B12" s="131" t="s">
        <v>480</v>
      </c>
      <c r="C12" s="131"/>
      <c r="D12" s="8"/>
      <c r="E12" s="87" t="s">
        <v>559</v>
      </c>
      <c r="F12" s="33" t="s">
        <v>473</v>
      </c>
    </row>
    <row r="13" spans="2:6" ht="14.5" customHeight="1" x14ac:dyDescent="0.35">
      <c r="B13" s="131" t="s">
        <v>478</v>
      </c>
      <c r="C13" s="131"/>
      <c r="D13" s="56"/>
      <c r="E13" s="56" t="s">
        <v>477</v>
      </c>
      <c r="F13" s="55">
        <f>IF(F12=prms!$AR$5,prms!$AS$5,IF('1 PRD'!F12=prms!$AR$6,prms!$AS$6,IF('1 PRD'!F12=prms!$AR$7,prms!$AS$7,IF('1 PRD'!F12=prms!$AR$8,prms!$AS$8,IF('1 PRD'!F12=prms!$AR$9,prms!$AS$9,1)))))</f>
        <v>2.7000000000000001E-3</v>
      </c>
    </row>
    <row r="14" spans="2:6" ht="14.5" customHeight="1" x14ac:dyDescent="0.35">
      <c r="B14" s="131" t="s">
        <v>469</v>
      </c>
      <c r="C14" s="131"/>
      <c r="E14" s="55" t="s">
        <v>131</v>
      </c>
      <c r="F14" s="55">
        <f>'2 BASE'!$F$11*'2 BASE'!$F$14</f>
        <v>9120000</v>
      </c>
    </row>
    <row r="15" spans="2:6" ht="14.5" customHeight="1" x14ac:dyDescent="0.35">
      <c r="D15" s="56"/>
      <c r="E15" s="56"/>
    </row>
    <row r="16" spans="2:6" ht="14.5" customHeight="1" x14ac:dyDescent="0.35">
      <c r="B16" s="131" t="s">
        <v>481</v>
      </c>
      <c r="C16" s="131"/>
      <c r="D16" s="8"/>
      <c r="E16" s="87" t="s">
        <v>559</v>
      </c>
      <c r="F16" s="33" t="s">
        <v>473</v>
      </c>
    </row>
    <row r="17" spans="2:6" ht="14.5" customHeight="1" x14ac:dyDescent="0.35">
      <c r="B17" s="131" t="s">
        <v>478</v>
      </c>
      <c r="C17" s="131"/>
      <c r="D17" s="56"/>
      <c r="E17" s="56" t="s">
        <v>477</v>
      </c>
      <c r="F17" s="55">
        <f>IF(F16=prms!$AR$5,prms!$AS$5,IF('1 PRD'!F16=prms!$AR$6,prms!$AS$6,IF('1 PRD'!F16=prms!$AR$7,prms!$AS$7,IF('1 PRD'!F16=prms!$AR$8,prms!$AS$8,IF('1 PRD'!F16=prms!$AR$9,prms!$AS$9,1)))))</f>
        <v>2.7000000000000001E-3</v>
      </c>
    </row>
    <row r="18" spans="2:6" ht="14.5" customHeight="1" x14ac:dyDescent="0.35">
      <c r="B18" s="131" t="s">
        <v>470</v>
      </c>
      <c r="C18" s="131"/>
      <c r="E18" s="55" t="s">
        <v>131</v>
      </c>
      <c r="F18" s="55">
        <f>'2 SBBS'!$F$11*'2 SBBS'!$F$14</f>
        <v>15210000</v>
      </c>
    </row>
    <row r="20" spans="2:6" ht="14.5" customHeight="1" x14ac:dyDescent="0.35">
      <c r="B20" s="125" t="s">
        <v>127</v>
      </c>
      <c r="C20" s="125"/>
      <c r="D20" s="125"/>
      <c r="E20" s="125"/>
      <c r="F20" s="125"/>
    </row>
    <row r="22" spans="2:6" ht="14.5" customHeight="1" x14ac:dyDescent="0.35">
      <c r="B22" s="131" t="s">
        <v>482</v>
      </c>
      <c r="C22" s="131"/>
      <c r="D22" s="56" t="s">
        <v>486</v>
      </c>
      <c r="E22" s="55" t="s">
        <v>131</v>
      </c>
      <c r="F22" s="17">
        <f>F5*F6</f>
        <v>33510.400000000001</v>
      </c>
    </row>
    <row r="23" spans="2:6" ht="14.5" customHeight="1" x14ac:dyDescent="0.35">
      <c r="B23" s="131" t="s">
        <v>483</v>
      </c>
      <c r="C23" s="131"/>
      <c r="D23" s="56" t="s">
        <v>487</v>
      </c>
      <c r="E23" s="55" t="s">
        <v>131</v>
      </c>
      <c r="F23" s="17">
        <f>F9*F10</f>
        <v>41888</v>
      </c>
    </row>
    <row r="24" spans="2:6" ht="14.5" customHeight="1" x14ac:dyDescent="0.35">
      <c r="B24" s="131" t="s">
        <v>484</v>
      </c>
      <c r="C24" s="131"/>
      <c r="D24" s="56" t="s">
        <v>488</v>
      </c>
      <c r="E24" s="55" t="s">
        <v>131</v>
      </c>
      <c r="F24" s="17">
        <f>F13*F14</f>
        <v>24624</v>
      </c>
    </row>
    <row r="25" spans="2:6" ht="14.5" customHeight="1" x14ac:dyDescent="0.35">
      <c r="B25" s="131" t="s">
        <v>485</v>
      </c>
      <c r="C25" s="131"/>
      <c r="D25" s="56" t="s">
        <v>489</v>
      </c>
      <c r="E25" s="55" t="s">
        <v>131</v>
      </c>
      <c r="F25" s="17">
        <f>F17*F18</f>
        <v>41067</v>
      </c>
    </row>
    <row r="26" spans="2:6" ht="14.5" customHeight="1" x14ac:dyDescent="0.35">
      <c r="D26" s="56"/>
      <c r="F26" s="17"/>
    </row>
    <row r="27" spans="2:6" ht="14.5" customHeight="1" x14ac:dyDescent="0.35">
      <c r="B27" s="131" t="s">
        <v>129</v>
      </c>
      <c r="C27" s="131"/>
      <c r="D27" s="56" t="s">
        <v>130</v>
      </c>
      <c r="E27" s="55" t="s">
        <v>131</v>
      </c>
      <c r="F27" s="24">
        <f>SUM(F22:F25)</f>
        <v>141089.4</v>
      </c>
    </row>
    <row r="28" spans="2:6" ht="14.5" customHeight="1" x14ac:dyDescent="0.35">
      <c r="E28" s="83" t="s">
        <v>558</v>
      </c>
      <c r="F28" s="75">
        <f>F27/1000</f>
        <v>141.08939999999998</v>
      </c>
    </row>
  </sheetData>
  <mergeCells count="19">
    <mergeCell ref="B2:F2"/>
    <mergeCell ref="B6:C6"/>
    <mergeCell ref="B4:C4"/>
    <mergeCell ref="B10:C10"/>
    <mergeCell ref="B16:C16"/>
    <mergeCell ref="B14:C14"/>
    <mergeCell ref="B5:C5"/>
    <mergeCell ref="B8:C8"/>
    <mergeCell ref="B9:C9"/>
    <mergeCell ref="B12:C12"/>
    <mergeCell ref="B13:C13"/>
    <mergeCell ref="B27:C27"/>
    <mergeCell ref="B22:C22"/>
    <mergeCell ref="B20:F20"/>
    <mergeCell ref="B17:C17"/>
    <mergeCell ref="B18:C18"/>
    <mergeCell ref="B23:C23"/>
    <mergeCell ref="B24:C24"/>
    <mergeCell ref="B25:C2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C9E0E8-6D01-4205-B565-D96E5CBE8069}">
          <x14:formula1>
            <xm:f>prms!$AR$5:$AR$9</xm:f>
          </x14:formula1>
          <xm:sqref>F4 F16 F12 F8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B0C8-7138-4D4F-9C40-97D5309159EE}">
  <dimension ref="A1:I158"/>
  <sheetViews>
    <sheetView zoomScale="40" zoomScaleNormal="40" workbookViewId="0"/>
  </sheetViews>
  <sheetFormatPr baseColWidth="10" defaultColWidth="12.6328125" defaultRowHeight="14.5" customHeight="1" x14ac:dyDescent="0.35"/>
  <cols>
    <col min="1" max="1" width="12.6328125" style="1"/>
    <col min="2" max="2" width="15.6328125" style="1" customWidth="1"/>
    <col min="3" max="3" width="15.6328125" style="2" customWidth="1"/>
    <col min="4" max="4" width="12.6328125" style="2" customWidth="1"/>
    <col min="5" max="5" width="12.6328125" style="1"/>
    <col min="6" max="6" width="20.6328125" style="1" customWidth="1"/>
    <col min="7" max="9" width="12.6328125" style="1" customWidth="1"/>
    <col min="10" max="16384" width="12.6328125" style="1"/>
  </cols>
  <sheetData>
    <row r="1" spans="2:8" s="2" customFormat="1" ht="14.5" customHeight="1" x14ac:dyDescent="0.35"/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s="2" customFormat="1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1" t="s">
        <v>0</v>
      </c>
      <c r="F4" s="1">
        <v>1000</v>
      </c>
    </row>
    <row r="6" spans="2:8" s="118" customFormat="1" ht="14.5" customHeight="1" x14ac:dyDescent="0.35">
      <c r="B6" s="133" t="s">
        <v>642</v>
      </c>
      <c r="C6" s="133"/>
      <c r="D6" s="133"/>
      <c r="E6" s="133"/>
      <c r="F6" s="133"/>
    </row>
    <row r="7" spans="2:8" s="29" customFormat="1" ht="14.5" customHeight="1" x14ac:dyDescent="0.35">
      <c r="B7" s="47"/>
      <c r="C7" s="47"/>
      <c r="D7" s="47"/>
      <c r="E7" s="47"/>
      <c r="F7" s="47"/>
    </row>
    <row r="8" spans="2:8" s="118" customFormat="1" ht="14.5" customHeight="1" x14ac:dyDescent="0.35">
      <c r="B8" s="131" t="s">
        <v>643</v>
      </c>
      <c r="C8" s="131"/>
      <c r="D8" s="12"/>
      <c r="E8" s="118" t="s">
        <v>559</v>
      </c>
      <c r="F8" s="3">
        <v>1</v>
      </c>
      <c r="G8" s="132" t="s">
        <v>101</v>
      </c>
      <c r="H8" s="132"/>
    </row>
    <row r="9" spans="2:8" s="118" customFormat="1" ht="14.5" customHeight="1" x14ac:dyDescent="0.35"/>
    <row r="10" spans="2:8" ht="14.5" customHeight="1" x14ac:dyDescent="0.35">
      <c r="B10" s="133" t="s">
        <v>527</v>
      </c>
      <c r="C10" s="133"/>
      <c r="D10" s="133"/>
      <c r="E10" s="133"/>
      <c r="F10" s="133"/>
    </row>
    <row r="11" spans="2:8" s="2" customFormat="1" ht="14.5" customHeight="1" x14ac:dyDescent="0.35">
      <c r="B11" s="8"/>
      <c r="C11" s="8"/>
      <c r="D11" s="8"/>
      <c r="E11" s="8"/>
      <c r="F11" s="8"/>
    </row>
    <row r="12" spans="2:8" ht="14.5" customHeight="1" x14ac:dyDescent="0.35">
      <c r="B12" s="131" t="s">
        <v>48</v>
      </c>
      <c r="C12" s="131"/>
      <c r="D12" s="12"/>
      <c r="E12" s="1" t="s">
        <v>0</v>
      </c>
      <c r="F12" s="3">
        <v>20</v>
      </c>
    </row>
    <row r="13" spans="2:8" ht="14.5" customHeight="1" x14ac:dyDescent="0.35">
      <c r="B13" s="131" t="s">
        <v>49</v>
      </c>
      <c r="C13" s="131"/>
      <c r="D13" s="12"/>
      <c r="E13" s="1" t="s">
        <v>0</v>
      </c>
      <c r="F13" s="3">
        <v>0.5</v>
      </c>
    </row>
    <row r="14" spans="2:8" ht="14.5" customHeight="1" x14ac:dyDescent="0.35">
      <c r="B14" s="135" t="s">
        <v>50</v>
      </c>
      <c r="C14" s="135"/>
      <c r="D14" s="7"/>
      <c r="E14" s="14" t="s">
        <v>559</v>
      </c>
      <c r="F14" s="3" t="s">
        <v>27</v>
      </c>
    </row>
    <row r="15" spans="2:8" ht="14.5" customHeight="1" x14ac:dyDescent="0.35">
      <c r="B15" s="134" t="s">
        <v>3</v>
      </c>
      <c r="C15" s="134"/>
      <c r="D15" s="34" t="s">
        <v>289</v>
      </c>
      <c r="E15" s="6" t="s">
        <v>29</v>
      </c>
      <c r="F15" s="1">
        <f xml:space="preserve">
IF(
F14=prms!$B$5,prms!$C$5,
IF(F14=prms!$B$6,prms!$C$6,
IF(F14=prms!$B$7,prms!$C$7,
IF(F14=prms!$B$8,prms!$C$8,
IF(F14=prms!$B$9,prms!$C$9,
IF(F14=prms!$B$10,prms!$C$10,
IF(F14=prms!$B$11,prms!$C$11,
IF(F14=prms!$B$12,prms!$C$12,
IF(F14=prms!$B$13,prms!$C$13,
IF(F14=prms!$B$14,prms!$C$14,
IF(F14=prms!$B$15,prms!$C$15,
IF(F14=prms!$B$16,prms!$C$16,
IF(F14=prms!$B$17,prms!$C$17,
IF(F14=prms!$B$18,prms!$C$18,
IF(F14=prms!$B$19,prms!$C$19,
IF(F14=prms!$B$20,prms!$C$20,
IF(F14=prms!$B$21,prms!$C$21,
IF(F14=prms!$B$22,prms!$C$22,
IF(F14=prms!$B$23,prms!$C$23,
IF(F14=prms!$B$24,prms!$C$24,
IF(F14=prms!$B$25,prms!$C$25,
IF(F14=prms!$B$26,prms!$C$26,
IF(F14=prms!$B$27,prms!$C$27,
IF(F14=prms!$B$28,prms!$C$28,
IF(F14=prms!$B$29,prms!$C$29,
)))))))))))))))))))))))))</f>
        <v>1840</v>
      </c>
    </row>
    <row r="16" spans="2:8" ht="14.5" customHeight="1" x14ac:dyDescent="0.35">
      <c r="B16" s="134" t="s">
        <v>4</v>
      </c>
      <c r="C16" s="134"/>
      <c r="D16" s="34" t="s">
        <v>290</v>
      </c>
      <c r="E16" s="6" t="s">
        <v>29</v>
      </c>
      <c r="F16" s="2">
        <f xml:space="preserve">
IF(
F14=prms!$B$5,prms!$D$5,
IF(F14=prms!$B$6,prms!$D$6,
IF(F14=prms!$B$7,prms!$D$7,
IF(F14=prms!$B$8,prms!$D$8,
IF(F14=prms!$B$9,prms!$D$9,
IF(F14=prms!$B$10,prms!$D$10,
IF(F14=prms!$B$11,prms!$D$11,
IF(F14=prms!$B$12,prms!$D$12,
IF(F14=prms!$B$13,prms!$D$13,
IF(F14=prms!$B$14,prms!$D$14,
IF(F14=prms!$B$15,prms!$D$15,
IF(F14=prms!$B$16,prms!$D$16,
IF(F14=prms!$B$17,prms!$D$17,
IF(F14=prms!$B$18,prms!$D$18,
IF(F14=prms!$B$19,prms!$D$19,
IF(F14=prms!$B$20,prms!$D$20,
IF(F14=prms!$B$21,prms!$D$21,
IF(F14=prms!$B$22,prms!$D$22,
IF(F14=prms!$B$23,prms!$D$23,
IF(F14=prms!$B$24,prms!$D$24,
IF(F14=prms!$B$25,prms!$D$25,
IF(F14=prms!$B$26,prms!$D$26,
IF(F14=prms!$B$27,prms!$D$27,
IF(F14=prms!$B$28,prms!$D$28,
IF(F14=prms!$B$29,prms!$D$29)))))))))))))))))))))))))</f>
        <v>1480</v>
      </c>
    </row>
    <row r="17" spans="2:6" s="2" customFormat="1" ht="14.5" customHeight="1" x14ac:dyDescent="0.35">
      <c r="B17" s="6"/>
      <c r="C17" s="11"/>
      <c r="D17" s="11"/>
      <c r="E17" s="6"/>
    </row>
    <row r="18" spans="2:6" s="2" customFormat="1" ht="14.5" customHeight="1" x14ac:dyDescent="0.35">
      <c r="B18" s="131" t="s">
        <v>51</v>
      </c>
      <c r="C18" s="131"/>
      <c r="E18" s="2" t="s">
        <v>0</v>
      </c>
      <c r="F18" s="3">
        <v>20</v>
      </c>
    </row>
    <row r="19" spans="2:6" s="2" customFormat="1" ht="14.5" customHeight="1" x14ac:dyDescent="0.35">
      <c r="B19" s="131" t="s">
        <v>52</v>
      </c>
      <c r="C19" s="131"/>
      <c r="E19" s="2" t="s">
        <v>0</v>
      </c>
      <c r="F19" s="3">
        <v>0.5</v>
      </c>
    </row>
    <row r="20" spans="2:6" s="2" customFormat="1" ht="14.5" customHeight="1" x14ac:dyDescent="0.35">
      <c r="B20" s="135" t="s">
        <v>53</v>
      </c>
      <c r="C20" s="135"/>
      <c r="D20" s="7"/>
      <c r="E20" s="67" t="s">
        <v>559</v>
      </c>
      <c r="F20" s="3" t="s">
        <v>28</v>
      </c>
    </row>
    <row r="21" spans="2:6" s="2" customFormat="1" ht="14.5" customHeight="1" x14ac:dyDescent="0.35">
      <c r="B21" s="134" t="s">
        <v>3</v>
      </c>
      <c r="C21" s="134"/>
      <c r="D21" s="34" t="s">
        <v>291</v>
      </c>
      <c r="E21" s="6" t="s">
        <v>29</v>
      </c>
      <c r="F21" s="19">
        <f xml:space="preserve">
IF(
F20=prms!$B$5,prms!$C$5,
IF(F20=prms!$B$6,prms!$C$6,
IF(F20=prms!$B$7,prms!$C$7,
IF(F20=prms!$B$8,prms!$C$8,
IF(F20=prms!$B$9,prms!$C$9,
IF(F20=prms!$B$10,prms!$C$10,
IF(F20=prms!$B$11,prms!$C$11,
IF(F20=prms!$B$12,prms!$C$12,
IF(F20=prms!$B$13,prms!$C$13,
IF(F20=prms!$B$14,prms!$C$14,
IF(F20=prms!$B$15,prms!$C$15,
IF(F20=prms!$B$16,prms!$C$16,
IF(F20=prms!$B$17,prms!$C$17,
IF(F20=prms!$B$18,prms!$C$18,
IF(F20=prms!$B$19,prms!$C$19,
IF(F20=prms!$B$20,prms!$C$20,
IF(F20=prms!$B$21,prms!$C$21,
IF(F20=prms!$B$22,prms!$C$22,
IF(F20=prms!$B$23,prms!$C$23,
IF(F20=prms!$B$24,prms!$C$24,
IF(F20=prms!$B$25,prms!$C$25,
IF(F20=prms!$B$26,prms!$C$26,
IF(F20=prms!$B$27,prms!$C$27,
IF(F20=prms!$B$28,prms!$C$28,
IF(F20=prms!$B$29,prms!$C$29,
)))))))))))))))))))))))))</f>
        <v>2080</v>
      </c>
    </row>
    <row r="22" spans="2:6" s="2" customFormat="1" ht="14.5" customHeight="1" x14ac:dyDescent="0.35">
      <c r="B22" s="134" t="s">
        <v>4</v>
      </c>
      <c r="C22" s="134"/>
      <c r="D22" s="34" t="s">
        <v>292</v>
      </c>
      <c r="E22" s="6" t="s">
        <v>29</v>
      </c>
      <c r="F22" s="19">
        <f xml:space="preserve">
IF(
F20=prms!$B$5,prms!$D$5,
IF(F20=prms!$B$6,prms!$D$6,
IF(F20=prms!$B$7,prms!$D$7,
IF(F20=prms!$B$8,prms!$D$8,
IF(F20=prms!$B$9,prms!$D$9,
IF(F20=prms!$B$10,prms!$D$10,
IF(F20=prms!$B$11,prms!$D$11,
IF(F20=prms!$B$12,prms!$D$12,
IF(F20=prms!$B$13,prms!$D$13,
IF(F20=prms!$B$14,prms!$D$14,
IF(F20=prms!$B$15,prms!$D$15,
IF(F20=prms!$B$16,prms!$D$16,
IF(F20=prms!$B$17,prms!$D$17,
IF(F20=prms!$B$18,prms!$D$18,
IF(F20=prms!$B$19,prms!$D$19,
IF(F20=prms!$B$20,prms!$D$20,
IF(F20=prms!$B$21,prms!$D$21,
IF(F20=prms!$B$22,prms!$D$22,
IF(F20=prms!$B$23,prms!$D$23,
IF(F20=prms!$B$24,prms!$D$24,
IF(F20=prms!$B$25,prms!$D$25,
IF(F20=prms!$B$26,prms!$D$26,
IF(F20=prms!$B$27,prms!$D$27,
IF(F20=prms!$B$28,prms!$D$28,
IF(F20=prms!$B$29,prms!$D$29)))))))))))))))))))))))))</f>
        <v>1660</v>
      </c>
    </row>
    <row r="23" spans="2:6" s="2" customFormat="1" ht="14.5" customHeight="1" x14ac:dyDescent="0.35">
      <c r="B23" s="6"/>
      <c r="C23" s="11"/>
      <c r="D23" s="11"/>
      <c r="E23" s="6"/>
    </row>
    <row r="24" spans="2:6" s="2" customFormat="1" ht="14.5" customHeight="1" x14ac:dyDescent="0.35">
      <c r="B24" s="131" t="s">
        <v>54</v>
      </c>
      <c r="C24" s="131"/>
      <c r="E24" s="2" t="s">
        <v>0</v>
      </c>
      <c r="F24" s="3">
        <v>20</v>
      </c>
    </row>
    <row r="25" spans="2:6" s="2" customFormat="1" ht="14.5" customHeight="1" x14ac:dyDescent="0.35">
      <c r="B25" s="131" t="s">
        <v>55</v>
      </c>
      <c r="C25" s="131"/>
      <c r="E25" s="2" t="s">
        <v>0</v>
      </c>
      <c r="F25" s="3">
        <v>0.5</v>
      </c>
    </row>
    <row r="26" spans="2:6" s="2" customFormat="1" ht="14.5" customHeight="1" x14ac:dyDescent="0.35">
      <c r="B26" s="135" t="s">
        <v>56</v>
      </c>
      <c r="C26" s="135"/>
      <c r="D26" s="7"/>
      <c r="E26" s="67" t="s">
        <v>559</v>
      </c>
      <c r="F26" s="3" t="s">
        <v>2</v>
      </c>
    </row>
    <row r="27" spans="2:6" s="2" customFormat="1" ht="14.5" customHeight="1" x14ac:dyDescent="0.35">
      <c r="B27" s="134" t="s">
        <v>3</v>
      </c>
      <c r="C27" s="134"/>
      <c r="D27" s="34" t="s">
        <v>293</v>
      </c>
      <c r="E27" s="6" t="s">
        <v>29</v>
      </c>
      <c r="F27" s="19">
        <f xml:space="preserve">
IF(
F26=prms!$B$5,prms!$C$5,
IF(F26=prms!$B$6,prms!$C$6,
IF(F26=prms!$B$7,prms!$C$7,
IF(F26=prms!$B$8,prms!$C$8,
IF(F26=prms!$B$9,prms!$C$9,
IF(F26=prms!$B$10,prms!$C$10,
IF(F26=prms!$B$11,prms!$C$11,
IF(F26=prms!$B$12,prms!$C$12,
IF(F26=prms!$B$13,prms!$C$13,
IF(F26=prms!$B$14,prms!$C$14,
IF(F26=prms!$B$15,prms!$C$15,
IF(F26=prms!$B$16,prms!$C$16,
IF(F26=prms!$B$17,prms!$C$17,
IF(F26=prms!$B$18,prms!$C$18,
IF(F26=prms!$B$19,prms!$C$19,
IF(F26=prms!$B$20,prms!$C$20,
IF(F26=prms!$B$21,prms!$C$21,
IF(F26=prms!$B$22,prms!$C$22,
IF(F26=prms!$B$23,prms!$C$23,
IF(F26=prms!$B$24,prms!$C$24,
IF(F26=prms!$B$25,prms!$C$25,
IF(F26=prms!$B$26,prms!$C$26,
IF(F26=prms!$B$27,prms!$C$27,
IF(F26=prms!$B$28,prms!$C$28,
IF(F26=prms!$B$29,prms!$C$29,
)))))))))))))))))))))))))</f>
        <v>1660</v>
      </c>
    </row>
    <row r="28" spans="2:6" s="2" customFormat="1" ht="14.5" customHeight="1" x14ac:dyDescent="0.35">
      <c r="B28" s="134" t="s">
        <v>4</v>
      </c>
      <c r="C28" s="134"/>
      <c r="D28" s="34" t="s">
        <v>294</v>
      </c>
      <c r="E28" s="6" t="s">
        <v>29</v>
      </c>
      <c r="F28" s="19">
        <f xml:space="preserve">
IF(
F26=prms!$B$5,prms!$D$5,
IF(F26=prms!$B$6,prms!$D$6,
IF(F26=prms!$B$7,prms!$D$7,
IF(F26=prms!$B$8,prms!$D$8,
IF(F26=prms!$B$9,prms!$D$9,
IF(F26=prms!$B$10,prms!$D$10,
IF(F26=prms!$B$11,prms!$D$11,
IF(F26=prms!$B$12,prms!$D$12,
IF(F26=prms!$B$13,prms!$D$13,
IF(F26=prms!$B$14,prms!$D$14,
IF(F26=prms!$B$15,prms!$D$15,
IF(F26=prms!$B$16,prms!$D$16,
IF(F26=prms!$B$17,prms!$D$17,
IF(F26=prms!$B$18,prms!$D$18,
IF(F26=prms!$B$19,prms!$D$19,
IF(F26=prms!$B$20,prms!$D$20,
IF(F26=prms!$B$21,prms!$D$21,
IF(F26=prms!$B$22,prms!$D$22,
IF(F26=prms!$B$23,prms!$D$23,
IF(F26=prms!$B$24,prms!$D$24,
IF(F26=prms!$B$25,prms!$D$25,
IF(F26=prms!$B$26,prms!$D$26,
IF(F26=prms!$B$27,prms!$D$27,
IF(F26=prms!$B$28,prms!$D$28,
IF(F26=prms!$B$29,prms!$D$29)))))))))))))))))))))))))</f>
        <v>1420</v>
      </c>
    </row>
    <row r="29" spans="2:6" s="2" customFormat="1" ht="14.5" customHeight="1" x14ac:dyDescent="0.35">
      <c r="B29" s="6"/>
      <c r="C29" s="11"/>
      <c r="D29" s="11"/>
      <c r="E29" s="6"/>
    </row>
    <row r="30" spans="2:6" s="2" customFormat="1" ht="14.5" customHeight="1" x14ac:dyDescent="0.35">
      <c r="B30" s="131" t="s">
        <v>57</v>
      </c>
      <c r="C30" s="131"/>
      <c r="E30" s="2" t="s">
        <v>0</v>
      </c>
      <c r="F30" s="3">
        <v>20</v>
      </c>
    </row>
    <row r="31" spans="2:6" s="2" customFormat="1" ht="14.5" customHeight="1" x14ac:dyDescent="0.35">
      <c r="B31" s="131" t="s">
        <v>58</v>
      </c>
      <c r="C31" s="131"/>
      <c r="E31" s="2" t="s">
        <v>0</v>
      </c>
      <c r="F31" s="3">
        <v>0.5</v>
      </c>
    </row>
    <row r="32" spans="2:6" s="2" customFormat="1" ht="14.5" customHeight="1" x14ac:dyDescent="0.35">
      <c r="B32" s="135" t="s">
        <v>59</v>
      </c>
      <c r="C32" s="135"/>
      <c r="D32" s="7"/>
      <c r="E32" s="67" t="s">
        <v>559</v>
      </c>
      <c r="F32" s="3" t="s">
        <v>5</v>
      </c>
    </row>
    <row r="33" spans="2:9" s="2" customFormat="1" ht="14.5" customHeight="1" x14ac:dyDescent="0.35">
      <c r="B33" s="134" t="s">
        <v>3</v>
      </c>
      <c r="C33" s="134"/>
      <c r="D33" s="34" t="s">
        <v>295</v>
      </c>
      <c r="E33" s="6" t="s">
        <v>29</v>
      </c>
      <c r="F33" s="19">
        <f xml:space="preserve">
IF(
F32=prms!$B$5,prms!$C$5,
IF(F32=prms!$B$6,prms!$C$6,
IF(F32=prms!$B$7,prms!$C$7,
IF(F32=prms!$B$8,prms!$C$8,
IF(F32=prms!$B$9,prms!$C$9,
IF(F32=prms!$B$10,prms!$C$10,
IF(F32=prms!$B$11,prms!$C$11,
IF(F32=prms!$B$12,prms!$C$12,
IF(F32=prms!$B$13,prms!$C$13,
IF(F32=prms!$B$14,prms!$C$14,
IF(F32=prms!$B$15,prms!$C$15,
IF(F32=prms!$B$16,prms!$C$16,
IF(F32=prms!$B$17,prms!$C$17,
IF(F32=prms!$B$18,prms!$C$18,
IF(F32=prms!$B$19,prms!$C$19,
IF(F32=prms!$B$20,prms!$C$20,
IF(F32=prms!$B$21,prms!$C$21,
IF(F32=prms!$B$22,prms!$C$22,
IF(F32=prms!$B$23,prms!$C$23,
IF(F32=prms!$B$24,prms!$C$24,
IF(F32=prms!$B$25,prms!$C$25,
IF(F32=prms!$B$26,prms!$C$26,
IF(F32=prms!$B$27,prms!$C$27,
IF(F32=prms!$B$28,prms!$C$28,
IF(F32=prms!$B$29,prms!$C$29,
)))))))))))))))))))))))))</f>
        <v>1840</v>
      </c>
    </row>
    <row r="34" spans="2:9" s="2" customFormat="1" ht="14.5" customHeight="1" x14ac:dyDescent="0.35">
      <c r="B34" s="134" t="s">
        <v>4</v>
      </c>
      <c r="C34" s="134"/>
      <c r="D34" s="34" t="s">
        <v>296</v>
      </c>
      <c r="E34" s="6" t="s">
        <v>29</v>
      </c>
      <c r="F34" s="19">
        <f xml:space="preserve">
IF(
F32=prms!$B$5,prms!$D$5,
IF(F32=prms!$B$6,prms!$D$6,
IF(F32=prms!$B$7,prms!$D$7,
IF(F32=prms!$B$8,prms!$D$8,
IF(F32=prms!$B$9,prms!$D$9,
IF(F32=prms!$B$10,prms!$D$10,
IF(F32=prms!$B$11,prms!$D$11,
IF(F32=prms!$B$12,prms!$D$12,
IF(F32=prms!$B$13,prms!$D$13,
IF(F32=prms!$B$14,prms!$D$14,
IF(F32=prms!$B$15,prms!$D$15,
IF(F32=prms!$B$16,prms!$D$16,
IF(F32=prms!$B$17,prms!$D$17,
IF(F32=prms!$B$18,prms!$D$18,
IF(F32=prms!$B$19,prms!$D$19,
IF(F32=prms!$B$20,prms!$D$20,
IF(F32=prms!$B$21,prms!$D$21,
IF(F32=prms!$B$22,prms!$D$22,
IF(F32=prms!$B$23,prms!$D$23,
IF(F32=prms!$B$24,prms!$D$24,
IF(F32=prms!$B$25,prms!$D$25,
IF(F32=prms!$B$26,prms!$D$26,
IF(F32=prms!$B$27,prms!$D$27,
IF(F32=prms!$B$28,prms!$D$28,
IF(F32=prms!$B$29,prms!$D$29)))))))))))))))))))))))))</f>
        <v>1540</v>
      </c>
    </row>
    <row r="35" spans="2:9" s="2" customFormat="1" ht="14.5" customHeight="1" x14ac:dyDescent="0.35">
      <c r="B35" s="6"/>
      <c r="C35" s="11"/>
      <c r="D35" s="11"/>
      <c r="E35" s="6"/>
    </row>
    <row r="36" spans="2:9" s="2" customFormat="1" ht="14.5" customHeight="1" x14ac:dyDescent="0.35">
      <c r="B36" s="131" t="s">
        <v>60</v>
      </c>
      <c r="C36" s="131"/>
      <c r="E36" s="2" t="s">
        <v>0</v>
      </c>
      <c r="F36" s="3">
        <v>20</v>
      </c>
    </row>
    <row r="37" spans="2:9" s="2" customFormat="1" ht="14.5" customHeight="1" x14ac:dyDescent="0.35">
      <c r="B37" s="131" t="s">
        <v>61</v>
      </c>
      <c r="C37" s="131"/>
      <c r="E37" s="2" t="s">
        <v>0</v>
      </c>
      <c r="F37" s="3">
        <v>0.5</v>
      </c>
    </row>
    <row r="38" spans="2:9" s="2" customFormat="1" ht="14.5" customHeight="1" x14ac:dyDescent="0.35">
      <c r="B38" s="135" t="s">
        <v>62</v>
      </c>
      <c r="C38" s="135"/>
      <c r="D38" s="7"/>
      <c r="E38" s="67" t="s">
        <v>559</v>
      </c>
      <c r="F38" s="3" t="s">
        <v>6</v>
      </c>
    </row>
    <row r="39" spans="2:9" s="2" customFormat="1" ht="14.5" customHeight="1" x14ac:dyDescent="0.35">
      <c r="B39" s="134" t="s">
        <v>3</v>
      </c>
      <c r="C39" s="134"/>
      <c r="D39" s="34" t="s">
        <v>297</v>
      </c>
      <c r="E39" s="6" t="s">
        <v>29</v>
      </c>
      <c r="F39" s="19">
        <f xml:space="preserve">
IF(
F38=prms!$B$5,prms!$C$5,
IF(F38=prms!$B$6,prms!$C$6,
IF(F38=prms!$B$7,prms!$C$7,
IF(F38=prms!$B$8,prms!$C$8,
IF(F38=prms!$B$9,prms!$C$9,
IF(F38=prms!$B$10,prms!$C$10,
IF(F38=prms!$B$11,prms!$C$11,
IF(F38=prms!$B$12,prms!$C$12,
IF(F38=prms!$B$13,prms!$C$13,
IF(F38=prms!$B$14,prms!$C$14,
IF(F38=prms!$B$15,prms!$C$15,
IF(F38=prms!$B$16,prms!$C$16,
IF(F38=prms!$B$17,prms!$C$17,
IF(F38=prms!$B$18,prms!$C$18,
IF(F38=prms!$B$19,prms!$C$19,
IF(F38=prms!$B$20,prms!$C$20,
IF(F38=prms!$B$21,prms!$C$21,
IF(F38=prms!$B$22,prms!$C$22,
IF(F38=prms!$B$23,prms!$C$23,
IF(F38=prms!$B$24,prms!$C$24,
IF(F38=prms!$B$25,prms!$C$25,
IF(F38=prms!$B$26,prms!$C$26,
IF(F38=prms!$B$27,prms!$C$27,
IF(F38=prms!$B$28,prms!$C$28,
IF(F38=prms!$B$29,prms!$C$29,
)))))))))))))))))))))))))</f>
        <v>1900</v>
      </c>
    </row>
    <row r="40" spans="2:9" s="2" customFormat="1" ht="14.5" customHeight="1" x14ac:dyDescent="0.35">
      <c r="B40" s="134" t="s">
        <v>4</v>
      </c>
      <c r="C40" s="134"/>
      <c r="D40" s="34" t="s">
        <v>298</v>
      </c>
      <c r="E40" s="6" t="s">
        <v>29</v>
      </c>
      <c r="F40" s="19">
        <f xml:space="preserve">
IF(
F38=prms!$B$5,prms!$D$5,
IF(F38=prms!$B$6,prms!$D$6,
IF(F38=prms!$B$7,prms!$D$7,
IF(F38=prms!$B$8,prms!$D$8,
IF(F38=prms!$B$9,prms!$D$9,
IF(F38=prms!$B$10,prms!$D$10,
IF(F38=prms!$B$11,prms!$D$11,
IF(F38=prms!$B$12,prms!$D$12,
IF(F38=prms!$B$13,prms!$D$13,
IF(F38=prms!$B$14,prms!$D$14,
IF(F38=prms!$B$15,prms!$D$15,
IF(F38=prms!$B$16,prms!$D$16,
IF(F38=prms!$B$17,prms!$D$17,
IF(F38=prms!$B$18,prms!$D$18,
IF(F38=prms!$B$19,prms!$D$19,
IF(F38=prms!$B$20,prms!$D$20,
IF(F38=prms!$B$21,prms!$D$21,
IF(F38=prms!$B$22,prms!$D$22,
IF(F38=prms!$B$23,prms!$D$23,
IF(F38=prms!$B$24,prms!$D$24,
IF(F38=prms!$B$25,prms!$D$25,
IF(F38=prms!$B$26,prms!$D$26,
IF(F38=prms!$B$27,prms!$D$27,
IF(F38=prms!$B$28,prms!$D$28,
IF(F38=prms!$B$29,prms!$D$29)))))))))))))))))))))))))</f>
        <v>1510</v>
      </c>
    </row>
    <row r="41" spans="2:9" s="4" customFormat="1" ht="14.5" customHeight="1" x14ac:dyDescent="0.35">
      <c r="B41" s="15"/>
      <c r="C41" s="15"/>
      <c r="D41" s="11"/>
      <c r="E41" s="15"/>
    </row>
    <row r="42" spans="2:9" s="4" customFormat="1" ht="14.5" customHeight="1" x14ac:dyDescent="0.35">
      <c r="B42" s="134" t="s">
        <v>186</v>
      </c>
      <c r="C42" s="134"/>
      <c r="D42" s="11"/>
      <c r="E42" s="15" t="s">
        <v>99</v>
      </c>
      <c r="F42" s="4">
        <f>F4*(F12*F13+F18*F19+F24*F25+F30*F31+F36*F37)</f>
        <v>50000</v>
      </c>
    </row>
    <row r="43" spans="2:9" s="2" customFormat="1" ht="14.5" customHeight="1" x14ac:dyDescent="0.35">
      <c r="B43" s="6"/>
      <c r="C43" s="11"/>
      <c r="D43" s="11"/>
      <c r="E43" s="6"/>
    </row>
    <row r="44" spans="2:9" ht="14.5" customHeight="1" x14ac:dyDescent="0.35">
      <c r="B44" s="133" t="s">
        <v>188</v>
      </c>
      <c r="C44" s="133"/>
      <c r="D44" s="133"/>
      <c r="E44" s="133"/>
      <c r="F44" s="133"/>
    </row>
    <row r="45" spans="2:9" s="2" customFormat="1" ht="14.5" customHeight="1" x14ac:dyDescent="0.35">
      <c r="B45" s="8"/>
      <c r="C45" s="8"/>
      <c r="D45" s="8"/>
      <c r="E45" s="8"/>
      <c r="F45" s="8"/>
    </row>
    <row r="46" spans="2:9" s="2" customFormat="1" ht="14.5" customHeight="1" x14ac:dyDescent="0.35">
      <c r="B46" s="131" t="s">
        <v>100</v>
      </c>
      <c r="C46" s="131"/>
      <c r="D46" s="35"/>
      <c r="E46" s="79" t="s">
        <v>70</v>
      </c>
      <c r="F46" s="3">
        <v>1</v>
      </c>
      <c r="G46" s="132" t="s">
        <v>101</v>
      </c>
      <c r="H46" s="132"/>
    </row>
    <row r="47" spans="2:9" ht="14.5" customHeight="1" x14ac:dyDescent="0.35">
      <c r="B47" s="131" t="s">
        <v>64</v>
      </c>
      <c r="C47" s="131"/>
      <c r="D47" s="35"/>
      <c r="E47" s="67" t="s">
        <v>559</v>
      </c>
      <c r="F47" s="3" t="s">
        <v>33</v>
      </c>
    </row>
    <row r="48" spans="2:9" ht="14.5" customHeight="1" x14ac:dyDescent="0.35">
      <c r="B48" s="131" t="s">
        <v>37</v>
      </c>
      <c r="C48" s="131"/>
      <c r="D48" s="15"/>
      <c r="E48" s="1" t="s">
        <v>38</v>
      </c>
      <c r="F48" s="3">
        <v>20</v>
      </c>
      <c r="G48" s="132" t="s">
        <v>84</v>
      </c>
      <c r="H48" s="132"/>
      <c r="I48" s="13" t="str">
        <f>IF($F$47=prms!F5,prms!G5,IF($F$47=prms!F6,prms!G6,IF('2 CUT'!$F$47=prms!F7,prms!G7,IF('2 CUT'!$F$47=prms!F8,prms!G8,IF('2 CUT'!$F$47=prms!F9,prms!G9,1)))))</f>
        <v>6.8 - 48.5</v>
      </c>
    </row>
    <row r="49" spans="2:9" s="2" customFormat="1" ht="14.5" customHeight="1" x14ac:dyDescent="0.35">
      <c r="B49" s="131" t="s">
        <v>45</v>
      </c>
      <c r="C49" s="131"/>
      <c r="D49" s="15" t="s">
        <v>66</v>
      </c>
      <c r="E49" s="2" t="s">
        <v>46</v>
      </c>
      <c r="F49" s="3">
        <v>0.25</v>
      </c>
      <c r="G49" s="132" t="s">
        <v>83</v>
      </c>
      <c r="H49" s="132"/>
      <c r="I49" s="132"/>
    </row>
    <row r="50" spans="2:9" s="2" customFormat="1" ht="14.5" customHeight="1" x14ac:dyDescent="0.35">
      <c r="B50" s="131" t="s">
        <v>76</v>
      </c>
      <c r="C50" s="131"/>
      <c r="D50" s="15" t="s">
        <v>75</v>
      </c>
      <c r="E50" s="2" t="s">
        <v>77</v>
      </c>
      <c r="F50" s="3">
        <v>480</v>
      </c>
      <c r="G50" s="9"/>
      <c r="H50" s="9"/>
      <c r="I50" s="9"/>
    </row>
    <row r="51" spans="2:9" s="2" customFormat="1" ht="14.5" customHeight="1" x14ac:dyDescent="0.35">
      <c r="B51" s="131" t="s">
        <v>79</v>
      </c>
      <c r="C51" s="131"/>
      <c r="D51" s="15" t="s">
        <v>299</v>
      </c>
      <c r="E51" s="2" t="s">
        <v>80</v>
      </c>
      <c r="F51" s="3">
        <v>0.85</v>
      </c>
      <c r="G51" s="9"/>
      <c r="H51" s="9"/>
      <c r="I51" s="9"/>
    </row>
    <row r="52" spans="2:9" s="2" customFormat="1" ht="14.5" customHeight="1" x14ac:dyDescent="0.35">
      <c r="B52" s="131" t="s">
        <v>81</v>
      </c>
      <c r="C52" s="131"/>
      <c r="D52" s="15" t="s">
        <v>300</v>
      </c>
      <c r="E52" s="2" t="s">
        <v>82</v>
      </c>
      <c r="F52" s="18">
        <v>0.01</v>
      </c>
      <c r="G52" s="132" t="s">
        <v>84</v>
      </c>
      <c r="H52" s="132"/>
      <c r="I52" s="13" t="s">
        <v>85</v>
      </c>
    </row>
    <row r="53" spans="2:9" s="2" customFormat="1" ht="14.5" customHeight="1" x14ac:dyDescent="0.35">
      <c r="B53" s="131" t="s">
        <v>63</v>
      </c>
      <c r="C53" s="131"/>
      <c r="D53" s="15" t="s">
        <v>90</v>
      </c>
      <c r="E53" s="2" t="s">
        <v>70</v>
      </c>
      <c r="F53" s="17">
        <f>0.0339*EXP(0.0014*$F$15)</f>
        <v>0.44559702597452067</v>
      </c>
      <c r="G53" s="9"/>
      <c r="H53" s="9"/>
      <c r="I53" s="9"/>
    </row>
    <row r="54" spans="2:9" s="2" customFormat="1" ht="14.5" customHeight="1" x14ac:dyDescent="0.35">
      <c r="B54" s="131" t="s">
        <v>71</v>
      </c>
      <c r="C54" s="131"/>
      <c r="D54" s="15" t="s">
        <v>91</v>
      </c>
      <c r="E54" s="2" t="s">
        <v>70</v>
      </c>
      <c r="F54" s="17">
        <f>0.0339*EXP(0.0014*$F$21)</f>
        <v>0.6235413077858365</v>
      </c>
      <c r="G54" s="9"/>
      <c r="H54" s="9"/>
      <c r="I54" s="9"/>
    </row>
    <row r="55" spans="2:9" s="2" customFormat="1" ht="14.5" customHeight="1" x14ac:dyDescent="0.35">
      <c r="B55" s="131" t="s">
        <v>72</v>
      </c>
      <c r="C55" s="131"/>
      <c r="D55" s="15" t="s">
        <v>92</v>
      </c>
      <c r="E55" s="2" t="s">
        <v>70</v>
      </c>
      <c r="F55" s="17">
        <f>0.0339*EXP(0.0014*$F$27)</f>
        <v>0.34633794373786764</v>
      </c>
      <c r="G55" s="9"/>
      <c r="H55" s="9"/>
      <c r="I55" s="9"/>
    </row>
    <row r="56" spans="2:9" s="2" customFormat="1" ht="14.5" customHeight="1" x14ac:dyDescent="0.35">
      <c r="B56" s="131" t="s">
        <v>73</v>
      </c>
      <c r="C56" s="131"/>
      <c r="D56" s="15" t="s">
        <v>93</v>
      </c>
      <c r="E56" s="2" t="s">
        <v>70</v>
      </c>
      <c r="F56" s="17">
        <f>0.0339*EXP(0.0014*$F$33)</f>
        <v>0.44559702597452067</v>
      </c>
      <c r="G56" s="9"/>
      <c r="H56" s="9"/>
      <c r="I56" s="9"/>
    </row>
    <row r="57" spans="2:9" s="2" customFormat="1" ht="14.5" customHeight="1" x14ac:dyDescent="0.35">
      <c r="B57" s="131" t="s">
        <v>74</v>
      </c>
      <c r="C57" s="131"/>
      <c r="D57" s="15" t="s">
        <v>94</v>
      </c>
      <c r="E57" s="2" t="s">
        <v>70</v>
      </c>
      <c r="F57" s="17">
        <f>0.0339*EXP(0.0014*$F$39)</f>
        <v>0.4846442004451707</v>
      </c>
      <c r="G57" s="9"/>
      <c r="H57" s="9"/>
      <c r="I57" s="9"/>
    </row>
    <row r="58" spans="2:9" ht="14.5" customHeight="1" x14ac:dyDescent="0.35">
      <c r="B58" s="131" t="s">
        <v>78</v>
      </c>
      <c r="C58" s="131"/>
      <c r="D58" s="15" t="s">
        <v>95</v>
      </c>
      <c r="E58" s="2" t="s">
        <v>70</v>
      </c>
      <c r="F58" s="25">
        <v>0.5</v>
      </c>
    </row>
    <row r="59" spans="2:9" s="2" customFormat="1" ht="14.5" customHeight="1" x14ac:dyDescent="0.35">
      <c r="B59" s="131" t="s">
        <v>96</v>
      </c>
      <c r="C59" s="131"/>
      <c r="D59" s="15" t="s">
        <v>301</v>
      </c>
      <c r="E59" s="2" t="s">
        <v>88</v>
      </c>
      <c r="F59" s="16">
        <f>F48*F49*( (F53*$F$13+F54*$F$19+F55*$F$25+F56*$F$31+F57*$F$37)/($F$13+$F$19+$F$25+$F$31+$F$37) +F58)/2*1/F51*F52</f>
        <v>2.8504220611281862E-2</v>
      </c>
    </row>
    <row r="60" spans="2:9" s="2" customFormat="1" ht="14.5" customHeight="1" x14ac:dyDescent="0.35"/>
    <row r="61" spans="2:9" s="2" customFormat="1" ht="14.5" customHeight="1" x14ac:dyDescent="0.35">
      <c r="B61" s="131" t="s">
        <v>102</v>
      </c>
      <c r="C61" s="131"/>
      <c r="D61" s="12"/>
      <c r="E61" s="79" t="s">
        <v>70</v>
      </c>
      <c r="F61" s="3">
        <v>1</v>
      </c>
      <c r="G61" s="132" t="s">
        <v>101</v>
      </c>
      <c r="H61" s="132"/>
      <c r="I61" s="4"/>
    </row>
    <row r="62" spans="2:9" ht="14.5" customHeight="1" x14ac:dyDescent="0.35">
      <c r="B62" s="131" t="s">
        <v>65</v>
      </c>
      <c r="C62" s="131"/>
      <c r="D62" s="35"/>
      <c r="E62" s="67" t="s">
        <v>559</v>
      </c>
      <c r="F62" s="3" t="s">
        <v>34</v>
      </c>
      <c r="G62" s="4"/>
      <c r="H62" s="4"/>
      <c r="I62" s="4"/>
    </row>
    <row r="63" spans="2:9" ht="14.5" customHeight="1" x14ac:dyDescent="0.35">
      <c r="B63" s="131" t="s">
        <v>37</v>
      </c>
      <c r="C63" s="131"/>
      <c r="D63" s="15"/>
      <c r="E63" s="4" t="s">
        <v>38</v>
      </c>
      <c r="F63" s="3">
        <v>70</v>
      </c>
      <c r="G63" s="132" t="s">
        <v>84</v>
      </c>
      <c r="H63" s="132"/>
      <c r="I63" s="13" t="str">
        <f>IF($F$62=prms!F5,prms!G5,IF($F$62=prms!F6,prms!G6,IF('2 CUT'!$F$62=prms!F7,prms!G7,IF('2 CUT'!$F$62=prms!F8,prms!G8,IF('2 CUT'!$F$62=prms!F9,prms!G9,1)))))</f>
        <v>60 - 95</v>
      </c>
    </row>
    <row r="64" spans="2:9" ht="14.5" customHeight="1" x14ac:dyDescent="0.35">
      <c r="B64" s="131" t="s">
        <v>45</v>
      </c>
      <c r="C64" s="131"/>
      <c r="D64" s="15" t="s">
        <v>67</v>
      </c>
      <c r="E64" s="4" t="s">
        <v>46</v>
      </c>
      <c r="F64" s="3">
        <v>0.25</v>
      </c>
      <c r="G64" s="132" t="s">
        <v>83</v>
      </c>
      <c r="H64" s="132"/>
      <c r="I64" s="132"/>
    </row>
    <row r="65" spans="2:9" s="2" customFormat="1" ht="14.5" customHeight="1" x14ac:dyDescent="0.35">
      <c r="B65" s="131" t="s">
        <v>76</v>
      </c>
      <c r="C65" s="131"/>
      <c r="D65" s="15" t="s">
        <v>86</v>
      </c>
      <c r="E65" s="4" t="s">
        <v>77</v>
      </c>
      <c r="F65" s="3">
        <v>480</v>
      </c>
      <c r="G65" s="10"/>
      <c r="H65" s="10"/>
      <c r="I65" s="10"/>
    </row>
    <row r="66" spans="2:9" s="2" customFormat="1" ht="14.5" customHeight="1" x14ac:dyDescent="0.35">
      <c r="B66" s="131" t="s">
        <v>79</v>
      </c>
      <c r="C66" s="131"/>
      <c r="D66" s="15" t="s">
        <v>302</v>
      </c>
      <c r="E66" s="4" t="s">
        <v>80</v>
      </c>
      <c r="F66" s="3">
        <v>0.85</v>
      </c>
      <c r="G66" s="10"/>
      <c r="H66" s="10"/>
      <c r="I66" s="10"/>
    </row>
    <row r="67" spans="2:9" s="2" customFormat="1" ht="14.5" customHeight="1" x14ac:dyDescent="0.35">
      <c r="B67" s="131" t="s">
        <v>81</v>
      </c>
      <c r="C67" s="131"/>
      <c r="D67" s="15" t="s">
        <v>303</v>
      </c>
      <c r="E67" s="4" t="s">
        <v>82</v>
      </c>
      <c r="F67" s="18">
        <v>0.01</v>
      </c>
      <c r="G67" s="132" t="s">
        <v>84</v>
      </c>
      <c r="H67" s="132"/>
      <c r="I67" s="13" t="s">
        <v>85</v>
      </c>
    </row>
    <row r="68" spans="2:9" s="2" customFormat="1" ht="14.5" customHeight="1" x14ac:dyDescent="0.35">
      <c r="B68" s="131" t="s">
        <v>63</v>
      </c>
      <c r="C68" s="131"/>
      <c r="D68" s="15" t="s">
        <v>103</v>
      </c>
      <c r="E68" s="4" t="s">
        <v>70</v>
      </c>
      <c r="F68" s="17">
        <f>0.0339*EXP(0.0014*$F$15)</f>
        <v>0.44559702597452067</v>
      </c>
      <c r="G68" s="9"/>
      <c r="H68" s="9"/>
      <c r="I68" s="9"/>
    </row>
    <row r="69" spans="2:9" s="2" customFormat="1" ht="14.5" customHeight="1" x14ac:dyDescent="0.35">
      <c r="B69" s="131" t="s">
        <v>71</v>
      </c>
      <c r="C69" s="131"/>
      <c r="D69" s="15" t="s">
        <v>104</v>
      </c>
      <c r="E69" s="4" t="s">
        <v>70</v>
      </c>
      <c r="F69" s="17">
        <f>0.0339*EXP(0.0014*$F$21)</f>
        <v>0.6235413077858365</v>
      </c>
      <c r="G69" s="9"/>
      <c r="H69" s="9"/>
      <c r="I69" s="9"/>
    </row>
    <row r="70" spans="2:9" s="2" customFormat="1" ht="14.5" customHeight="1" x14ac:dyDescent="0.35">
      <c r="B70" s="131" t="s">
        <v>72</v>
      </c>
      <c r="C70" s="131"/>
      <c r="D70" s="15" t="s">
        <v>105</v>
      </c>
      <c r="E70" s="4" t="s">
        <v>70</v>
      </c>
      <c r="F70" s="17">
        <f>0.0339*EXP(0.0014*$F$27)</f>
        <v>0.34633794373786764</v>
      </c>
      <c r="G70" s="9"/>
      <c r="H70" s="9"/>
      <c r="I70" s="9"/>
    </row>
    <row r="71" spans="2:9" s="2" customFormat="1" ht="14.5" customHeight="1" x14ac:dyDescent="0.35">
      <c r="B71" s="131" t="s">
        <v>73</v>
      </c>
      <c r="C71" s="131"/>
      <c r="D71" s="15" t="s">
        <v>106</v>
      </c>
      <c r="E71" s="4" t="s">
        <v>70</v>
      </c>
      <c r="F71" s="17">
        <f>0.0339*EXP(0.0014*$F$33)</f>
        <v>0.44559702597452067</v>
      </c>
      <c r="G71" s="9"/>
      <c r="H71" s="9"/>
      <c r="I71" s="9"/>
    </row>
    <row r="72" spans="2:9" s="2" customFormat="1" ht="14.5" customHeight="1" x14ac:dyDescent="0.35">
      <c r="B72" s="131" t="s">
        <v>74</v>
      </c>
      <c r="C72" s="131"/>
      <c r="D72" s="15" t="s">
        <v>107</v>
      </c>
      <c r="E72" s="4" t="s">
        <v>70</v>
      </c>
      <c r="F72" s="17">
        <f>0.0339*EXP(0.0014*$F$39)</f>
        <v>0.4846442004451707</v>
      </c>
      <c r="G72" s="9"/>
      <c r="H72" s="9"/>
      <c r="I72" s="9"/>
    </row>
    <row r="73" spans="2:9" s="2" customFormat="1" ht="14.5" customHeight="1" x14ac:dyDescent="0.35">
      <c r="B73" s="131" t="s">
        <v>78</v>
      </c>
      <c r="C73" s="131"/>
      <c r="D73" s="15" t="s">
        <v>108</v>
      </c>
      <c r="E73" s="4" t="s">
        <v>70</v>
      </c>
      <c r="F73" s="25">
        <v>0.5</v>
      </c>
      <c r="G73" s="9"/>
      <c r="H73" s="9"/>
      <c r="I73" s="9"/>
    </row>
    <row r="74" spans="2:9" s="2" customFormat="1" ht="14.5" customHeight="1" x14ac:dyDescent="0.35">
      <c r="B74" s="131" t="s">
        <v>96</v>
      </c>
      <c r="C74" s="131"/>
      <c r="D74" s="15" t="s">
        <v>304</v>
      </c>
      <c r="E74" s="4" t="s">
        <v>88</v>
      </c>
      <c r="F74" s="16">
        <f>F63*F64*( (F68*$F$13+F69*$F$19+F70*$F$25+F71*$F$31+F72*$F$37)/($F$13+$F$19+$F$25+$F$31+$F$37) +F73)/2*1/F66*F67</f>
        <v>9.9764772139486507E-2</v>
      </c>
    </row>
    <row r="75" spans="2:9" s="4" customFormat="1" ht="14.5" customHeight="1" x14ac:dyDescent="0.35">
      <c r="D75" s="15"/>
    </row>
    <row r="76" spans="2:9" s="2" customFormat="1" ht="14.5" customHeight="1" x14ac:dyDescent="0.35">
      <c r="B76" s="131" t="s">
        <v>110</v>
      </c>
      <c r="C76" s="131"/>
      <c r="D76" s="35"/>
      <c r="E76" s="79" t="s">
        <v>70</v>
      </c>
      <c r="F76" s="3">
        <v>1</v>
      </c>
      <c r="G76" s="132" t="s">
        <v>101</v>
      </c>
      <c r="H76" s="132"/>
    </row>
    <row r="77" spans="2:9" ht="14.5" customHeight="1" x14ac:dyDescent="0.35">
      <c r="B77" s="131" t="s">
        <v>69</v>
      </c>
      <c r="C77" s="131"/>
      <c r="D77" s="35"/>
      <c r="E77" s="67" t="s">
        <v>559</v>
      </c>
      <c r="F77" s="3" t="s">
        <v>44</v>
      </c>
    </row>
    <row r="78" spans="2:9" ht="14.5" customHeight="1" x14ac:dyDescent="0.35">
      <c r="B78" s="131" t="s">
        <v>37</v>
      </c>
      <c r="C78" s="131"/>
      <c r="D78" s="15"/>
      <c r="E78" s="2" t="s">
        <v>38</v>
      </c>
      <c r="F78" s="3">
        <v>150</v>
      </c>
      <c r="G78" s="132" t="s">
        <v>84</v>
      </c>
      <c r="H78" s="132"/>
      <c r="I78" s="13" t="str">
        <f>IF($F$77=prms!F5,prms!G5,IF($F$77=prms!F6,prms!G6,IF('2 CUT'!$F$77=prms!F7,prms!G7,IF('2 CUT'!$F$77=prms!F8,prms!G8,IF('2 CUT'!$F$77=prms!F9,prms!G9,1)))))</f>
        <v>95 - 200</v>
      </c>
    </row>
    <row r="79" spans="2:9" ht="14.5" customHeight="1" x14ac:dyDescent="0.35">
      <c r="B79" s="131" t="s">
        <v>45</v>
      </c>
      <c r="C79" s="131"/>
      <c r="D79" s="15" t="s">
        <v>68</v>
      </c>
      <c r="E79" s="2" t="s">
        <v>46</v>
      </c>
      <c r="F79" s="3">
        <v>0.25</v>
      </c>
      <c r="G79" s="132" t="s">
        <v>83</v>
      </c>
      <c r="H79" s="132"/>
      <c r="I79" s="132"/>
    </row>
    <row r="80" spans="2:9" ht="14.5" customHeight="1" x14ac:dyDescent="0.35">
      <c r="B80" s="131" t="s">
        <v>76</v>
      </c>
      <c r="C80" s="131"/>
      <c r="D80" s="15" t="s">
        <v>87</v>
      </c>
      <c r="E80" s="2" t="s">
        <v>77</v>
      </c>
      <c r="F80" s="3">
        <v>480</v>
      </c>
    </row>
    <row r="81" spans="2:9" ht="14.5" customHeight="1" x14ac:dyDescent="0.35">
      <c r="B81" s="131" t="s">
        <v>79</v>
      </c>
      <c r="C81" s="131"/>
      <c r="D81" s="15" t="s">
        <v>305</v>
      </c>
      <c r="E81" s="2" t="s">
        <v>80</v>
      </c>
      <c r="F81" s="3">
        <v>0.85</v>
      </c>
    </row>
    <row r="82" spans="2:9" ht="14.5" customHeight="1" x14ac:dyDescent="0.35">
      <c r="B82" s="131" t="s">
        <v>81</v>
      </c>
      <c r="C82" s="131"/>
      <c r="D82" s="15" t="s">
        <v>306</v>
      </c>
      <c r="E82" s="2" t="s">
        <v>82</v>
      </c>
      <c r="F82" s="18">
        <v>0.01</v>
      </c>
      <c r="G82" s="132" t="s">
        <v>84</v>
      </c>
      <c r="H82" s="132"/>
      <c r="I82" s="13" t="s">
        <v>85</v>
      </c>
    </row>
    <row r="83" spans="2:9" ht="14.5" customHeight="1" x14ac:dyDescent="0.35">
      <c r="B83" s="131" t="s">
        <v>63</v>
      </c>
      <c r="C83" s="131"/>
      <c r="D83" s="15" t="s">
        <v>111</v>
      </c>
      <c r="E83" s="2" t="s">
        <v>70</v>
      </c>
      <c r="F83" s="17">
        <f>0.0339*EXP(0.0014*$F$15)</f>
        <v>0.44559702597452067</v>
      </c>
    </row>
    <row r="84" spans="2:9" ht="14.5" customHeight="1" x14ac:dyDescent="0.35">
      <c r="B84" s="131" t="s">
        <v>71</v>
      </c>
      <c r="C84" s="131"/>
      <c r="D84" s="15" t="s">
        <v>112</v>
      </c>
      <c r="E84" s="2" t="s">
        <v>70</v>
      </c>
      <c r="F84" s="17">
        <f>0.0339*EXP(0.0014*$F$21)</f>
        <v>0.6235413077858365</v>
      </c>
    </row>
    <row r="85" spans="2:9" ht="14.5" customHeight="1" x14ac:dyDescent="0.35">
      <c r="B85" s="131" t="s">
        <v>72</v>
      </c>
      <c r="C85" s="131"/>
      <c r="D85" s="15" t="s">
        <v>113</v>
      </c>
      <c r="E85" s="2" t="s">
        <v>70</v>
      </c>
      <c r="F85" s="17">
        <f>0.0339*EXP(0.0014*$F$27)</f>
        <v>0.34633794373786764</v>
      </c>
    </row>
    <row r="86" spans="2:9" ht="14.5" customHeight="1" x14ac:dyDescent="0.35">
      <c r="B86" s="131" t="s">
        <v>73</v>
      </c>
      <c r="C86" s="131"/>
      <c r="D86" s="15" t="s">
        <v>114</v>
      </c>
      <c r="E86" s="2" t="s">
        <v>70</v>
      </c>
      <c r="F86" s="17">
        <f>0.0339*EXP(0.0014*$F$33)</f>
        <v>0.44559702597452067</v>
      </c>
    </row>
    <row r="87" spans="2:9" ht="14.5" customHeight="1" x14ac:dyDescent="0.35">
      <c r="B87" s="131" t="s">
        <v>74</v>
      </c>
      <c r="C87" s="131"/>
      <c r="D87" s="15" t="s">
        <v>115</v>
      </c>
      <c r="E87" s="2" t="s">
        <v>70</v>
      </c>
      <c r="F87" s="17">
        <f>0.0339*EXP(0.0014*$F$39)</f>
        <v>0.4846442004451707</v>
      </c>
    </row>
    <row r="88" spans="2:9" ht="14.5" customHeight="1" x14ac:dyDescent="0.35">
      <c r="B88" s="131" t="s">
        <v>78</v>
      </c>
      <c r="C88" s="131"/>
      <c r="D88" s="15" t="s">
        <v>116</v>
      </c>
      <c r="E88" s="2" t="s">
        <v>70</v>
      </c>
      <c r="F88" s="3">
        <v>0.5</v>
      </c>
    </row>
    <row r="89" spans="2:9" ht="14.5" customHeight="1" x14ac:dyDescent="0.35">
      <c r="B89" s="131" t="s">
        <v>96</v>
      </c>
      <c r="C89" s="131"/>
      <c r="D89" s="15" t="s">
        <v>307</v>
      </c>
      <c r="E89" s="4" t="s">
        <v>88</v>
      </c>
      <c r="F89" s="16">
        <f>F78*F79*( (F83*$F$13+F84*$F$19+F85*$F$25+F86*$F$31+F87*$F$37)/($F$13+$F$19+$F$25+$F$31+$F$37) +F88)/2*1/F81*F82</f>
        <v>0.21378165458461393</v>
      </c>
    </row>
    <row r="90" spans="2:9" s="4" customFormat="1" ht="14.5" customHeight="1" x14ac:dyDescent="0.35">
      <c r="D90" s="15"/>
      <c r="F90" s="16"/>
    </row>
    <row r="91" spans="2:9" s="4" customFormat="1" ht="14.5" customHeight="1" x14ac:dyDescent="0.35">
      <c r="B91" s="133" t="s">
        <v>239</v>
      </c>
      <c r="C91" s="133"/>
      <c r="D91" s="133"/>
      <c r="E91" s="133"/>
      <c r="F91" s="133"/>
    </row>
    <row r="92" spans="2:9" s="4" customFormat="1" ht="14.5" customHeight="1" x14ac:dyDescent="0.35">
      <c r="F92" s="16"/>
    </row>
    <row r="93" spans="2:9" s="4" customFormat="1" ht="14.5" customHeight="1" x14ac:dyDescent="0.35">
      <c r="B93" s="131" t="s">
        <v>148</v>
      </c>
      <c r="C93" s="131"/>
      <c r="D93" s="12"/>
      <c r="E93" s="79" t="s">
        <v>70</v>
      </c>
      <c r="F93" s="3">
        <v>1</v>
      </c>
      <c r="G93" s="132" t="s">
        <v>101</v>
      </c>
      <c r="H93" s="132"/>
    </row>
    <row r="94" spans="2:9" s="4" customFormat="1" ht="14.5" customHeight="1" x14ac:dyDescent="0.35">
      <c r="B94" s="131" t="s">
        <v>149</v>
      </c>
      <c r="C94" s="131"/>
      <c r="D94" s="12"/>
      <c r="E94" s="67" t="s">
        <v>559</v>
      </c>
      <c r="F94" s="18" t="s">
        <v>135</v>
      </c>
    </row>
    <row r="95" spans="2:9" s="4" customFormat="1" ht="14.5" customHeight="1" x14ac:dyDescent="0.35">
      <c r="B95" s="131" t="s">
        <v>160</v>
      </c>
      <c r="C95" s="131"/>
      <c r="D95" s="15" t="s">
        <v>161</v>
      </c>
      <c r="E95" s="4" t="s">
        <v>99</v>
      </c>
      <c r="F95" s="27">
        <v>7.5</v>
      </c>
      <c r="G95" s="132" t="s">
        <v>84</v>
      </c>
      <c r="H95" s="132"/>
      <c r="I95" s="13" t="str">
        <f>IF(F94=prms!AA5,prms!AC5, IF('2 CUT'!F94=prms!AA6,prms!AC6, IF('2 CUT'!F94=prms!AA7,prms!AC7, IF('2 CUT'!F94=prms!AA8,prms!AC8,IF('2 CUT'!F94=prms!AA9,prms!AC9,1)))))</f>
        <v>5 - 10</v>
      </c>
    </row>
    <row r="96" spans="2:9" s="4" customFormat="1" ht="14.5" customHeight="1" x14ac:dyDescent="0.35">
      <c r="B96" s="131" t="s">
        <v>143</v>
      </c>
      <c r="C96" s="131"/>
      <c r="D96" s="15" t="s">
        <v>164</v>
      </c>
      <c r="E96" s="15" t="s">
        <v>144</v>
      </c>
      <c r="F96" s="25">
        <v>0.15</v>
      </c>
      <c r="G96" s="132" t="s">
        <v>84</v>
      </c>
      <c r="H96" s="132"/>
      <c r="I96" s="13" t="str">
        <f>IF(F94=prms!AA5,prms!AD5, IF('2 CUT'!F94=prms!AA6,prms!AD6, IF('2 CUT'!F94=prms!AA7,prms!AD7, IF('2 CUT'!F94=prms!AA8,prms!AD8,IF('2 CUT'!F94=prms!AA9,prms!AD9,1)))))</f>
        <v>0.2 - 0.1</v>
      </c>
    </row>
    <row r="97" spans="2:9" s="4" customFormat="1" ht="14.5" customHeight="1" x14ac:dyDescent="0.35">
      <c r="B97" s="131" t="s">
        <v>151</v>
      </c>
      <c r="C97" s="131"/>
      <c r="D97" s="15" t="s">
        <v>163</v>
      </c>
      <c r="E97" s="4" t="s">
        <v>152</v>
      </c>
      <c r="F97" s="28">
        <v>10</v>
      </c>
    </row>
    <row r="98" spans="2:9" s="4" customFormat="1" ht="14.5" customHeight="1" x14ac:dyDescent="0.35">
      <c r="B98" s="131" t="s">
        <v>159</v>
      </c>
      <c r="C98" s="131"/>
      <c r="D98" s="15" t="s">
        <v>165</v>
      </c>
      <c r="E98" s="4" t="s">
        <v>70</v>
      </c>
      <c r="F98" s="27">
        <v>1.7</v>
      </c>
    </row>
    <row r="99" spans="2:9" s="4" customFormat="1" ht="14.5" customHeight="1" x14ac:dyDescent="0.35">
      <c r="B99" s="131" t="s">
        <v>96</v>
      </c>
      <c r="C99" s="131"/>
      <c r="D99" s="15" t="s">
        <v>308</v>
      </c>
      <c r="E99" s="4" t="s">
        <v>88</v>
      </c>
      <c r="F99" s="16">
        <f>F98*F97*F96/F95</f>
        <v>0.33999999999999997</v>
      </c>
    </row>
    <row r="100" spans="2:9" s="4" customFormat="1" ht="14.5" customHeight="1" x14ac:dyDescent="0.35">
      <c r="D100" s="15"/>
      <c r="F100" s="16"/>
    </row>
    <row r="101" spans="2:9" s="4" customFormat="1" ht="14.5" customHeight="1" x14ac:dyDescent="0.35">
      <c r="B101" s="131" t="s">
        <v>166</v>
      </c>
      <c r="C101" s="131"/>
      <c r="D101" s="35"/>
      <c r="E101" s="79" t="s">
        <v>70</v>
      </c>
      <c r="F101" s="3">
        <v>1</v>
      </c>
      <c r="G101" s="132" t="s">
        <v>101</v>
      </c>
      <c r="H101" s="132"/>
    </row>
    <row r="102" spans="2:9" s="4" customFormat="1" ht="14.5" customHeight="1" x14ac:dyDescent="0.35">
      <c r="B102" s="131" t="s">
        <v>167</v>
      </c>
      <c r="C102" s="131"/>
      <c r="D102" s="35"/>
      <c r="E102" s="67" t="s">
        <v>559</v>
      </c>
      <c r="F102" s="18" t="s">
        <v>136</v>
      </c>
    </row>
    <row r="103" spans="2:9" s="4" customFormat="1" ht="14.5" customHeight="1" x14ac:dyDescent="0.35">
      <c r="B103" s="131" t="s">
        <v>160</v>
      </c>
      <c r="C103" s="131"/>
      <c r="D103" s="15" t="s">
        <v>168</v>
      </c>
      <c r="E103" s="4" t="s">
        <v>99</v>
      </c>
      <c r="F103" s="27">
        <v>12.5</v>
      </c>
      <c r="G103" s="132" t="s">
        <v>84</v>
      </c>
      <c r="H103" s="132"/>
      <c r="I103" s="13" t="str">
        <f>IF(F102=prms!AA5,prms!AC5, IF('2 CUT'!F102=prms!AA6,prms!AC6, IF('2 CUT'!F102=prms!AA7,prms!AC7, IF('2 CUT'!F102=prms!AA8,prms!AC8,IF('2 CUT'!F102=prms!AA9,prms!AC9,1)))))</f>
        <v>10 - 15</v>
      </c>
    </row>
    <row r="104" spans="2:9" s="4" customFormat="1" ht="14.5" customHeight="1" x14ac:dyDescent="0.35">
      <c r="B104" s="131" t="s">
        <v>143</v>
      </c>
      <c r="C104" s="131"/>
      <c r="D104" s="15" t="s">
        <v>169</v>
      </c>
      <c r="E104" s="15" t="s">
        <v>144</v>
      </c>
      <c r="F104" s="25">
        <v>0.25</v>
      </c>
      <c r="G104" s="132" t="s">
        <v>84</v>
      </c>
      <c r="H104" s="132"/>
      <c r="I104" s="13" t="str">
        <f>IF(F102=prms!AA5,prms!AD5, IF('2 CUT'!F102=prms!AA6,prms!AD6, IF('2 CUT'!F102=prms!AA7,prms!AD7, IF('2 CUT'!F102=prms!AA8,prms!AD8,IF('2 CUT'!F102=prms!AA9,prms!AD9,1)))))</f>
        <v>0.3 - 0.2</v>
      </c>
    </row>
    <row r="105" spans="2:9" s="4" customFormat="1" ht="14.5" customHeight="1" x14ac:dyDescent="0.35">
      <c r="B105" s="131" t="s">
        <v>151</v>
      </c>
      <c r="C105" s="131"/>
      <c r="D105" s="15" t="s">
        <v>170</v>
      </c>
      <c r="E105" s="4" t="s">
        <v>152</v>
      </c>
      <c r="F105" s="28">
        <v>10</v>
      </c>
    </row>
    <row r="106" spans="2:9" s="4" customFormat="1" ht="14.5" customHeight="1" x14ac:dyDescent="0.35">
      <c r="B106" s="131" t="s">
        <v>159</v>
      </c>
      <c r="C106" s="131"/>
      <c r="D106" s="15" t="s">
        <v>171</v>
      </c>
      <c r="E106" s="4" t="s">
        <v>70</v>
      </c>
      <c r="F106" s="27">
        <v>1.7</v>
      </c>
    </row>
    <row r="107" spans="2:9" s="4" customFormat="1" ht="14.5" customHeight="1" x14ac:dyDescent="0.35">
      <c r="B107" s="131" t="s">
        <v>96</v>
      </c>
      <c r="C107" s="131"/>
      <c r="D107" s="15" t="s">
        <v>309</v>
      </c>
      <c r="E107" s="4" t="s">
        <v>88</v>
      </c>
      <c r="F107" s="16">
        <f>F106*F105*F104/F103</f>
        <v>0.34</v>
      </c>
    </row>
    <row r="108" spans="2:9" s="4" customFormat="1" ht="14.5" customHeight="1" x14ac:dyDescent="0.35">
      <c r="D108" s="15"/>
      <c r="F108" s="16"/>
    </row>
    <row r="109" spans="2:9" s="4" customFormat="1" ht="14.5" customHeight="1" x14ac:dyDescent="0.35">
      <c r="B109" s="131" t="s">
        <v>172</v>
      </c>
      <c r="C109" s="131"/>
      <c r="D109" s="35"/>
      <c r="E109" s="79" t="s">
        <v>70</v>
      </c>
      <c r="F109" s="3">
        <v>1</v>
      </c>
      <c r="G109" s="132" t="s">
        <v>101</v>
      </c>
      <c r="H109" s="132"/>
    </row>
    <row r="110" spans="2:9" s="4" customFormat="1" ht="14.5" customHeight="1" x14ac:dyDescent="0.35">
      <c r="B110" s="131" t="s">
        <v>150</v>
      </c>
      <c r="C110" s="131"/>
      <c r="D110" s="35"/>
      <c r="E110" s="67" t="s">
        <v>559</v>
      </c>
      <c r="F110" s="18" t="s">
        <v>137</v>
      </c>
    </row>
    <row r="111" spans="2:9" s="4" customFormat="1" ht="14.5" customHeight="1" x14ac:dyDescent="0.35">
      <c r="B111" s="131" t="s">
        <v>160</v>
      </c>
      <c r="C111" s="131"/>
      <c r="D111" s="15" t="s">
        <v>173</v>
      </c>
      <c r="E111" s="4" t="s">
        <v>99</v>
      </c>
      <c r="F111" s="27">
        <v>17.5</v>
      </c>
      <c r="G111" s="132" t="s">
        <v>84</v>
      </c>
      <c r="H111" s="132"/>
      <c r="I111" s="13" t="str">
        <f>IF(F110=prms!AA5,prms!AC5, IF('2 CUT'!F110=prms!AA6,prms!AC6, IF('2 CUT'!F110=prms!AA7,prms!AC7, IF('2 CUT'!F110=prms!AA8,prms!AC8,IF('2 CUT'!F110=prms!AA9,prms!AC9,1)))))</f>
        <v>15 - 20</v>
      </c>
    </row>
    <row r="112" spans="2:9" s="4" customFormat="1" ht="14.5" customHeight="1" x14ac:dyDescent="0.35">
      <c r="B112" s="131" t="s">
        <v>143</v>
      </c>
      <c r="C112" s="131"/>
      <c r="D112" s="15" t="s">
        <v>162</v>
      </c>
      <c r="E112" s="15" t="s">
        <v>144</v>
      </c>
      <c r="F112" s="25">
        <v>0.35</v>
      </c>
      <c r="G112" s="132" t="s">
        <v>84</v>
      </c>
      <c r="H112" s="132"/>
      <c r="I112" s="13" t="str">
        <f>IF(F110=prms!AA5,prms!AD5, IF('2 CUT'!F110=prms!AA6,prms!AD6, IF('2 CUT'!F110=prms!AA7,prms!AD7, IF('2 CUT'!F110=prms!AA8,prms!AD8,IF('2 CUT'!F110=prms!AA9,prms!AD9,1)))))</f>
        <v>0.4 - 0.3</v>
      </c>
    </row>
    <row r="113" spans="1:7" s="4" customFormat="1" ht="14.5" customHeight="1" x14ac:dyDescent="0.35">
      <c r="B113" s="131" t="s">
        <v>151</v>
      </c>
      <c r="C113" s="131"/>
      <c r="D113" s="15" t="s">
        <v>174</v>
      </c>
      <c r="E113" s="4" t="s">
        <v>152</v>
      </c>
      <c r="F113" s="28">
        <v>10</v>
      </c>
    </row>
    <row r="114" spans="1:7" s="4" customFormat="1" ht="14.5" customHeight="1" x14ac:dyDescent="0.35">
      <c r="B114" s="131" t="s">
        <v>159</v>
      </c>
      <c r="C114" s="131"/>
      <c r="D114" s="15" t="s">
        <v>175</v>
      </c>
      <c r="E114" s="4" t="s">
        <v>70</v>
      </c>
      <c r="F114" s="27">
        <v>1.7</v>
      </c>
    </row>
    <row r="115" spans="1:7" s="4" customFormat="1" ht="14.5" customHeight="1" x14ac:dyDescent="0.35">
      <c r="B115" s="131" t="s">
        <v>96</v>
      </c>
      <c r="C115" s="131"/>
      <c r="D115" s="15" t="s">
        <v>310</v>
      </c>
      <c r="E115" s="4" t="s">
        <v>88</v>
      </c>
      <c r="F115" s="16">
        <f>F114*F113*F112/F111</f>
        <v>0.33999999999999997</v>
      </c>
    </row>
    <row r="116" spans="1:7" s="64" customFormat="1" ht="14.5" customHeight="1" x14ac:dyDescent="0.35">
      <c r="A116" s="29"/>
      <c r="B116" s="47"/>
      <c r="C116" s="47"/>
      <c r="D116" s="47"/>
      <c r="E116" s="47"/>
      <c r="F116" s="47"/>
      <c r="G116" s="29"/>
    </row>
    <row r="117" spans="1:7" s="64" customFormat="1" ht="14.5" customHeight="1" x14ac:dyDescent="0.35">
      <c r="B117" s="125" t="s">
        <v>188</v>
      </c>
      <c r="C117" s="125"/>
      <c r="D117" s="125"/>
      <c r="E117" s="125"/>
      <c r="F117" s="125"/>
    </row>
    <row r="118" spans="1:7" s="4" customFormat="1" ht="14.5" customHeight="1" x14ac:dyDescent="0.35"/>
    <row r="119" spans="1:7" s="4" customFormat="1" ht="14.5" customHeight="1" x14ac:dyDescent="0.35">
      <c r="B119" s="131" t="s">
        <v>118</v>
      </c>
      <c r="C119" s="131"/>
      <c r="E119" s="66" t="s">
        <v>70</v>
      </c>
      <c r="F119" s="17">
        <f>F46*F48/($F$46*$F$48+$F$61*$F$63+$F$76*$F$78)</f>
        <v>8.3333333333333329E-2</v>
      </c>
    </row>
    <row r="120" spans="1:7" s="4" customFormat="1" ht="14.5" customHeight="1" x14ac:dyDescent="0.35">
      <c r="B120" s="131" t="s">
        <v>119</v>
      </c>
      <c r="C120" s="131"/>
      <c r="E120" s="66" t="s">
        <v>70</v>
      </c>
      <c r="F120" s="17">
        <f>F61*F63/($F$46*$F$48+$F$61*$F$63+$F$76*$F$78)</f>
        <v>0.29166666666666669</v>
      </c>
    </row>
    <row r="121" spans="1:7" s="4" customFormat="1" ht="14.5" customHeight="1" x14ac:dyDescent="0.35">
      <c r="B121" s="131" t="s">
        <v>120</v>
      </c>
      <c r="C121" s="131"/>
      <c r="E121" s="66" t="s">
        <v>70</v>
      </c>
      <c r="F121" s="17">
        <f>F76*F78/($F$46*$F$48+$F$61*$F$63+$F$76*$F$78)</f>
        <v>0.625</v>
      </c>
    </row>
    <row r="122" spans="1:7" s="4" customFormat="1" ht="14.5" customHeight="1" x14ac:dyDescent="0.35">
      <c r="F122" s="17"/>
    </row>
    <row r="123" spans="1:7" s="4" customFormat="1" ht="14.5" customHeight="1" x14ac:dyDescent="0.35">
      <c r="B123" s="131" t="s">
        <v>121</v>
      </c>
      <c r="C123" s="131"/>
      <c r="E123" s="4" t="s">
        <v>99</v>
      </c>
      <c r="F123" s="24">
        <f>F119*$F$42</f>
        <v>4166.6666666666661</v>
      </c>
    </row>
    <row r="124" spans="1:7" s="4" customFormat="1" ht="14.5" customHeight="1" x14ac:dyDescent="0.35">
      <c r="B124" s="131" t="s">
        <v>122</v>
      </c>
      <c r="C124" s="131"/>
      <c r="E124" s="4" t="s">
        <v>99</v>
      </c>
      <c r="F124" s="24">
        <f>F120*$F$42</f>
        <v>14583.333333333334</v>
      </c>
    </row>
    <row r="125" spans="1:7" s="4" customFormat="1" ht="14.5" customHeight="1" x14ac:dyDescent="0.35">
      <c r="B125" s="131" t="s">
        <v>123</v>
      </c>
      <c r="C125" s="131"/>
      <c r="E125" s="4" t="s">
        <v>99</v>
      </c>
      <c r="F125" s="24">
        <f>F121*$F$42</f>
        <v>31250</v>
      </c>
    </row>
    <row r="126" spans="1:7" s="4" customFormat="1" ht="14.5" customHeight="1" x14ac:dyDescent="0.35">
      <c r="F126" s="24"/>
    </row>
    <row r="127" spans="1:7" s="4" customFormat="1" ht="14.5" customHeight="1" x14ac:dyDescent="0.35">
      <c r="B127" s="131" t="s">
        <v>124</v>
      </c>
      <c r="C127" s="131"/>
      <c r="D127" s="4" t="s">
        <v>89</v>
      </c>
      <c r="E127" s="4" t="s">
        <v>98</v>
      </c>
      <c r="F127" s="24">
        <f>F59*F123</f>
        <v>118.76758588034107</v>
      </c>
    </row>
    <row r="128" spans="1:7" s="4" customFormat="1" ht="14.5" customHeight="1" x14ac:dyDescent="0.35">
      <c r="B128" s="131" t="s">
        <v>125</v>
      </c>
      <c r="C128" s="131"/>
      <c r="D128" s="4" t="s">
        <v>109</v>
      </c>
      <c r="E128" s="4" t="s">
        <v>98</v>
      </c>
      <c r="F128" s="24">
        <f>F74*F124</f>
        <v>1454.9029270341782</v>
      </c>
    </row>
    <row r="129" spans="2:6" s="4" customFormat="1" ht="14.5" customHeight="1" x14ac:dyDescent="0.35">
      <c r="B129" s="131" t="s">
        <v>126</v>
      </c>
      <c r="C129" s="131"/>
      <c r="D129" s="4" t="s">
        <v>117</v>
      </c>
      <c r="E129" s="4" t="s">
        <v>98</v>
      </c>
      <c r="F129" s="24">
        <f>F89*F125</f>
        <v>6680.676705769185</v>
      </c>
    </row>
    <row r="130" spans="2:6" s="4" customFormat="1" ht="14.5" customHeight="1" x14ac:dyDescent="0.35">
      <c r="F130" s="24"/>
    </row>
    <row r="131" spans="2:6" ht="14.5" customHeight="1" x14ac:dyDescent="0.35">
      <c r="B131" s="131" t="s">
        <v>143</v>
      </c>
      <c r="C131" s="131"/>
      <c r="D131" s="4" t="s">
        <v>128</v>
      </c>
      <c r="E131" s="2" t="s">
        <v>98</v>
      </c>
      <c r="F131" s="24">
        <f>SUM(F127:F129)</f>
        <v>8254.3472186837043</v>
      </c>
    </row>
    <row r="132" spans="2:6" s="4" customFormat="1" ht="14.5" customHeight="1" x14ac:dyDescent="0.35">
      <c r="B132" s="131" t="s">
        <v>132</v>
      </c>
      <c r="C132" s="131"/>
      <c r="D132" s="4" t="s">
        <v>133</v>
      </c>
      <c r="E132" s="4" t="s">
        <v>134</v>
      </c>
      <c r="F132" s="25">
        <v>2.6</v>
      </c>
    </row>
    <row r="133" spans="2:6" ht="14.5" customHeight="1" x14ac:dyDescent="0.35">
      <c r="B133" s="131" t="s">
        <v>565</v>
      </c>
      <c r="C133" s="131"/>
      <c r="D133" s="4" t="s">
        <v>130</v>
      </c>
      <c r="E133" s="4" t="s">
        <v>131</v>
      </c>
      <c r="F133" s="24">
        <f>F131*F132</f>
        <v>21461.302768577632</v>
      </c>
    </row>
    <row r="134" spans="2:6" s="66" customFormat="1" ht="14.5" customHeight="1" x14ac:dyDescent="0.35">
      <c r="E134" s="66" t="s">
        <v>558</v>
      </c>
      <c r="F134" s="74">
        <f>F133/1000</f>
        <v>21.461302768577632</v>
      </c>
    </row>
    <row r="136" spans="2:6" s="66" customFormat="1" ht="14.5" customHeight="1" x14ac:dyDescent="0.35">
      <c r="B136" s="125" t="s">
        <v>239</v>
      </c>
      <c r="C136" s="125"/>
      <c r="D136" s="125"/>
      <c r="E136" s="125"/>
      <c r="F136" s="125"/>
    </row>
    <row r="137" spans="2:6" s="66" customFormat="1" ht="14.5" customHeight="1" x14ac:dyDescent="0.35"/>
    <row r="138" spans="2:6" ht="14.5" customHeight="1" x14ac:dyDescent="0.35">
      <c r="B138" s="131" t="s">
        <v>412</v>
      </c>
      <c r="C138" s="131"/>
      <c r="D138" s="4"/>
      <c r="E138" s="66" t="s">
        <v>70</v>
      </c>
      <c r="F138" s="17">
        <f>F93*F95/($F$93*$F$95+$F$101*$F$103+$F$109*$F$111)</f>
        <v>0.2</v>
      </c>
    </row>
    <row r="139" spans="2:6" ht="14.5" customHeight="1" x14ac:dyDescent="0.35">
      <c r="B139" s="131" t="s">
        <v>413</v>
      </c>
      <c r="C139" s="131"/>
      <c r="D139" s="4"/>
      <c r="E139" s="66" t="s">
        <v>70</v>
      </c>
      <c r="F139" s="17">
        <f>F101*F103/($F$93*$F$95+$F$101*$F$103+$F$109*$F$111)</f>
        <v>0.33333333333333331</v>
      </c>
    </row>
    <row r="140" spans="2:6" ht="14.5" customHeight="1" x14ac:dyDescent="0.35">
      <c r="B140" s="131" t="s">
        <v>414</v>
      </c>
      <c r="C140" s="131"/>
      <c r="D140" s="4"/>
      <c r="E140" s="66" t="s">
        <v>70</v>
      </c>
      <c r="F140" s="17">
        <f>F109*F111/($F$93*$F$95+$F$101*$F$103+$F$109*$F$111)</f>
        <v>0.46666666666666667</v>
      </c>
    </row>
    <row r="142" spans="2:6" ht="14.5" customHeight="1" x14ac:dyDescent="0.35">
      <c r="B142" s="131" t="s">
        <v>176</v>
      </c>
      <c r="C142" s="131"/>
      <c r="D142" s="4"/>
      <c r="E142" s="4" t="s">
        <v>99</v>
      </c>
      <c r="F142" s="24">
        <f>F138*$F$42</f>
        <v>10000</v>
      </c>
    </row>
    <row r="143" spans="2:6" ht="14.5" customHeight="1" x14ac:dyDescent="0.35">
      <c r="B143" s="131" t="s">
        <v>177</v>
      </c>
      <c r="C143" s="131"/>
      <c r="D143" s="4"/>
      <c r="E143" s="4" t="s">
        <v>99</v>
      </c>
      <c r="F143" s="24">
        <f>F139*$F$42</f>
        <v>16666.666666666664</v>
      </c>
    </row>
    <row r="144" spans="2:6" ht="14.5" customHeight="1" x14ac:dyDescent="0.35">
      <c r="B144" s="131" t="s">
        <v>178</v>
      </c>
      <c r="C144" s="131"/>
      <c r="D144" s="4"/>
      <c r="E144" s="4" t="s">
        <v>99</v>
      </c>
      <c r="F144" s="24">
        <f>F140*$F$42</f>
        <v>23333.333333333332</v>
      </c>
    </row>
    <row r="146" spans="2:6" ht="14.5" customHeight="1" x14ac:dyDescent="0.35">
      <c r="B146" s="131" t="s">
        <v>179</v>
      </c>
      <c r="C146" s="131"/>
      <c r="D146" s="15" t="s">
        <v>182</v>
      </c>
      <c r="E146" s="4" t="s">
        <v>98</v>
      </c>
      <c r="F146" s="24">
        <f>F99*F142</f>
        <v>3399.9999999999995</v>
      </c>
    </row>
    <row r="147" spans="2:6" ht="14.5" customHeight="1" x14ac:dyDescent="0.35">
      <c r="B147" s="131" t="s">
        <v>180</v>
      </c>
      <c r="C147" s="131"/>
      <c r="D147" s="15" t="s">
        <v>183</v>
      </c>
      <c r="E147" s="4" t="s">
        <v>98</v>
      </c>
      <c r="F147" s="24">
        <f>F107*F143</f>
        <v>5666.6666666666661</v>
      </c>
    </row>
    <row r="148" spans="2:6" ht="14.5" customHeight="1" x14ac:dyDescent="0.35">
      <c r="B148" s="131" t="s">
        <v>181</v>
      </c>
      <c r="C148" s="131"/>
      <c r="D148" s="15" t="s">
        <v>184</v>
      </c>
      <c r="E148" s="4" t="s">
        <v>98</v>
      </c>
      <c r="F148" s="24">
        <f>F115*F144</f>
        <v>7933.3333333333321</v>
      </c>
    </row>
    <row r="149" spans="2:6" ht="14.5" customHeight="1" x14ac:dyDescent="0.35">
      <c r="D149" s="15"/>
    </row>
    <row r="150" spans="2:6" ht="14.5" customHeight="1" x14ac:dyDescent="0.35">
      <c r="B150" s="131" t="s">
        <v>143</v>
      </c>
      <c r="C150" s="131"/>
      <c r="D150" s="15" t="s">
        <v>254</v>
      </c>
      <c r="E150" s="4" t="s">
        <v>98</v>
      </c>
      <c r="F150" s="24">
        <f>SUM(F146:F148)</f>
        <v>17000</v>
      </c>
    </row>
    <row r="151" spans="2:6" ht="14.5" customHeight="1" x14ac:dyDescent="0.35">
      <c r="B151" s="131" t="s">
        <v>132</v>
      </c>
      <c r="C151" s="131"/>
      <c r="D151" s="15" t="s">
        <v>133</v>
      </c>
      <c r="E151" s="4" t="s">
        <v>134</v>
      </c>
      <c r="F151" s="25">
        <v>2.6</v>
      </c>
    </row>
    <row r="152" spans="2:6" ht="14.5" customHeight="1" x14ac:dyDescent="0.35">
      <c r="B152" s="131" t="s">
        <v>565</v>
      </c>
      <c r="C152" s="131"/>
      <c r="D152" s="15" t="s">
        <v>130</v>
      </c>
      <c r="E152" s="4" t="s">
        <v>131</v>
      </c>
      <c r="F152" s="24">
        <f>F150*F151</f>
        <v>44200</v>
      </c>
    </row>
    <row r="153" spans="2:6" s="66" customFormat="1" ht="14.5" customHeight="1" x14ac:dyDescent="0.35">
      <c r="D153" s="68"/>
      <c r="E153" s="66" t="s">
        <v>558</v>
      </c>
      <c r="F153" s="74">
        <f>F152/1000</f>
        <v>44.2</v>
      </c>
    </row>
    <row r="155" spans="2:6" ht="14.5" customHeight="1" x14ac:dyDescent="0.35">
      <c r="B155" s="125" t="s">
        <v>557</v>
      </c>
      <c r="C155" s="125"/>
      <c r="D155" s="125"/>
      <c r="E155" s="125"/>
      <c r="F155" s="125"/>
    </row>
    <row r="157" spans="2:6" ht="14.5" customHeight="1" x14ac:dyDescent="0.35">
      <c r="B157" s="131" t="s">
        <v>129</v>
      </c>
      <c r="C157" s="131"/>
      <c r="D157" s="68" t="s">
        <v>130</v>
      </c>
      <c r="E157" s="66" t="s">
        <v>131</v>
      </c>
      <c r="F157" s="24">
        <f>IF(F8=1,F133+F152,0)</f>
        <v>65661.302768577632</v>
      </c>
    </row>
    <row r="158" spans="2:6" ht="14.5" customHeight="1" x14ac:dyDescent="0.35">
      <c r="E158" s="66" t="s">
        <v>558</v>
      </c>
      <c r="F158" s="75">
        <f>F157/1000</f>
        <v>65.661302768577627</v>
      </c>
    </row>
  </sheetData>
  <sortState xmlns:xlrd2="http://schemas.microsoft.com/office/spreadsheetml/2017/richdata2" ref="E15:F15">
    <sortCondition ref="E15"/>
  </sortState>
  <mergeCells count="146">
    <mergeCell ref="G8:H8"/>
    <mergeCell ref="G93:H93"/>
    <mergeCell ref="G95:H95"/>
    <mergeCell ref="G96:H96"/>
    <mergeCell ref="B97:C97"/>
    <mergeCell ref="B99:C99"/>
    <mergeCell ref="B98:C98"/>
    <mergeCell ref="G109:H109"/>
    <mergeCell ref="G111:H111"/>
    <mergeCell ref="B40:C40"/>
    <mergeCell ref="B46:C46"/>
    <mergeCell ref="B44:F44"/>
    <mergeCell ref="B38:C38"/>
    <mergeCell ref="B42:C42"/>
    <mergeCell ref="B39:C39"/>
    <mergeCell ref="G46:H46"/>
    <mergeCell ref="G48:H48"/>
    <mergeCell ref="G49:I49"/>
    <mergeCell ref="G52:H52"/>
    <mergeCell ref="B62:C62"/>
    <mergeCell ref="B47:C47"/>
    <mergeCell ref="B49:C49"/>
    <mergeCell ref="B48:C48"/>
    <mergeCell ref="B50:C50"/>
    <mergeCell ref="G112:H112"/>
    <mergeCell ref="G82:H82"/>
    <mergeCell ref="B80:C80"/>
    <mergeCell ref="B81:C81"/>
    <mergeCell ref="B82:C82"/>
    <mergeCell ref="B83:C83"/>
    <mergeCell ref="B84:C84"/>
    <mergeCell ref="B59:C59"/>
    <mergeCell ref="G67:H67"/>
    <mergeCell ref="G79:I79"/>
    <mergeCell ref="G61:H61"/>
    <mergeCell ref="B76:C76"/>
    <mergeCell ref="B77:C77"/>
    <mergeCell ref="G76:H76"/>
    <mergeCell ref="B68:C68"/>
    <mergeCell ref="B69:C69"/>
    <mergeCell ref="B70:C70"/>
    <mergeCell ref="B71:C71"/>
    <mergeCell ref="B78:C78"/>
    <mergeCell ref="G63:H63"/>
    <mergeCell ref="G78:H78"/>
    <mergeCell ref="G64:I64"/>
    <mergeCell ref="B65:C65"/>
    <mergeCell ref="B66:C66"/>
    <mergeCell ref="B51:C51"/>
    <mergeCell ref="B52:C52"/>
    <mergeCell ref="B114:C114"/>
    <mergeCell ref="B115:C115"/>
    <mergeCell ref="B91:F91"/>
    <mergeCell ref="B93:C93"/>
    <mergeCell ref="B94:C94"/>
    <mergeCell ref="B95:C95"/>
    <mergeCell ref="B96:C96"/>
    <mergeCell ref="B101:C101"/>
    <mergeCell ref="B102:C102"/>
    <mergeCell ref="B103:C103"/>
    <mergeCell ref="B104:C104"/>
    <mergeCell ref="B61:C61"/>
    <mergeCell ref="B56:C56"/>
    <mergeCell ref="B57:C57"/>
    <mergeCell ref="B58:C58"/>
    <mergeCell ref="B127:C127"/>
    <mergeCell ref="B113:C113"/>
    <mergeCell ref="B128:C128"/>
    <mergeCell ref="B129:C129"/>
    <mergeCell ref="B117:F117"/>
    <mergeCell ref="B88:C88"/>
    <mergeCell ref="B53:C53"/>
    <mergeCell ref="B54:C54"/>
    <mergeCell ref="B55:C55"/>
    <mergeCell ref="B10:F10"/>
    <mergeCell ref="B6:F6"/>
    <mergeCell ref="B8:C8"/>
    <mergeCell ref="B131:C131"/>
    <mergeCell ref="B85:C85"/>
    <mergeCell ref="B86:C86"/>
    <mergeCell ref="B87:C87"/>
    <mergeCell ref="B72:C72"/>
    <mergeCell ref="B73:C73"/>
    <mergeCell ref="B64:C64"/>
    <mergeCell ref="B63:C63"/>
    <mergeCell ref="B74:C74"/>
    <mergeCell ref="B89:C89"/>
    <mergeCell ref="B119:C119"/>
    <mergeCell ref="B120:C120"/>
    <mergeCell ref="B121:C121"/>
    <mergeCell ref="B123:C123"/>
    <mergeCell ref="B124:C124"/>
    <mergeCell ref="B79:C79"/>
    <mergeCell ref="B67:C67"/>
    <mergeCell ref="B107:C107"/>
    <mergeCell ref="B111:C111"/>
    <mergeCell ref="B112:C112"/>
    <mergeCell ref="B125:C125"/>
    <mergeCell ref="B2:F2"/>
    <mergeCell ref="B15:C15"/>
    <mergeCell ref="B16:C16"/>
    <mergeCell ref="B32:C32"/>
    <mergeCell ref="B31:C31"/>
    <mergeCell ref="B36:C36"/>
    <mergeCell ref="B37:C37"/>
    <mergeCell ref="B21:C21"/>
    <mergeCell ref="B22:C22"/>
    <mergeCell ref="B26:C26"/>
    <mergeCell ref="B27:C27"/>
    <mergeCell ref="B28:C28"/>
    <mergeCell ref="B33:C33"/>
    <mergeCell ref="B34:C34"/>
    <mergeCell ref="B4:C4"/>
    <mergeCell ref="B12:C12"/>
    <mergeCell ref="B13:C13"/>
    <mergeCell ref="B14:C14"/>
    <mergeCell ref="B19:C19"/>
    <mergeCell ref="B20:C20"/>
    <mergeCell ref="B24:C24"/>
    <mergeCell ref="B25:C25"/>
    <mergeCell ref="B30:C30"/>
    <mergeCell ref="B18:C18"/>
    <mergeCell ref="B155:F155"/>
    <mergeCell ref="B157:C157"/>
    <mergeCell ref="G101:H101"/>
    <mergeCell ref="G103:H103"/>
    <mergeCell ref="G104:H104"/>
    <mergeCell ref="B109:C109"/>
    <mergeCell ref="B110:C110"/>
    <mergeCell ref="B151:C151"/>
    <mergeCell ref="B152:C152"/>
    <mergeCell ref="B144:C144"/>
    <mergeCell ref="B146:C146"/>
    <mergeCell ref="B147:C147"/>
    <mergeCell ref="B148:C148"/>
    <mergeCell ref="B150:C150"/>
    <mergeCell ref="B138:C138"/>
    <mergeCell ref="B139:C139"/>
    <mergeCell ref="B140:C140"/>
    <mergeCell ref="B142:C142"/>
    <mergeCell ref="B143:C143"/>
    <mergeCell ref="B136:F136"/>
    <mergeCell ref="B133:C133"/>
    <mergeCell ref="B132:C132"/>
    <mergeCell ref="B105:C105"/>
    <mergeCell ref="B106:C10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BAC5ADF-921A-48CD-8341-317C3457AD02}">
          <x14:formula1>
            <xm:f>prms!$B$5:$B$29</xm:f>
          </x14:formula1>
          <xm:sqref>F38 F14 F20 F26 F32</xm:sqref>
        </x14:dataValidation>
        <x14:dataValidation type="list" allowBlank="1" showInputMessage="1" showErrorMessage="1" xr:uid="{3D65B53D-4A10-440E-9035-479C94987693}">
          <x14:formula1>
            <xm:f>prms!$F$5:$F$9</xm:f>
          </x14:formula1>
          <xm:sqref>F47 F62 F77</xm:sqref>
        </x14:dataValidation>
        <x14:dataValidation type="list" allowBlank="1" showInputMessage="1" showErrorMessage="1" xr:uid="{BF509E64-8CBD-41F0-AF0F-5B5C07815833}">
          <x14:formula1>
            <xm:f>prms!$AA$5:$AA$9</xm:f>
          </x14:formula1>
          <xm:sqref>F94 F102 F110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B0C0-F524-4478-80F5-BAB5ED748F9D}">
  <dimension ref="B2:I165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4"/>
    <col min="2" max="3" width="15.6328125" style="4" customWidth="1"/>
    <col min="4" max="4" width="12.6328125" style="4" customWidth="1"/>
    <col min="5" max="5" width="12.6328125" style="4"/>
    <col min="6" max="6" width="20.6328125" style="4" customWidth="1"/>
    <col min="7" max="9" width="12.6328125" style="4" customWidth="1"/>
    <col min="10" max="16384" width="12.6328125" style="4"/>
  </cols>
  <sheetData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4" t="s">
        <v>0</v>
      </c>
      <c r="F4" s="4">
        <v>1000</v>
      </c>
    </row>
    <row r="5" spans="2:8" s="118" customFormat="1" ht="14.5" customHeight="1" x14ac:dyDescent="0.35">
      <c r="D5" s="12"/>
    </row>
    <row r="6" spans="2:8" s="118" customFormat="1" ht="14.5" customHeight="1" x14ac:dyDescent="0.35">
      <c r="B6" s="133" t="s">
        <v>645</v>
      </c>
      <c r="C6" s="133"/>
      <c r="D6" s="133"/>
      <c r="E6" s="133"/>
      <c r="F6" s="133"/>
    </row>
    <row r="7" spans="2:8" s="118" customFormat="1" ht="14.5" customHeight="1" x14ac:dyDescent="0.35">
      <c r="D7" s="12"/>
    </row>
    <row r="8" spans="2:8" s="118" customFormat="1" ht="14.5" customHeight="1" x14ac:dyDescent="0.35">
      <c r="B8" s="131" t="s">
        <v>644</v>
      </c>
      <c r="C8" s="131"/>
      <c r="D8" s="12"/>
      <c r="E8" s="118" t="s">
        <v>559</v>
      </c>
      <c r="F8" s="3">
        <v>1</v>
      </c>
      <c r="G8" s="132" t="s">
        <v>101</v>
      </c>
      <c r="H8" s="132"/>
    </row>
    <row r="10" spans="2:8" ht="14.5" customHeight="1" x14ac:dyDescent="0.35">
      <c r="B10" s="133" t="s">
        <v>528</v>
      </c>
      <c r="C10" s="133"/>
      <c r="D10" s="133"/>
      <c r="E10" s="133"/>
      <c r="F10" s="133"/>
    </row>
    <row r="11" spans="2:8" ht="14.5" customHeight="1" x14ac:dyDescent="0.35">
      <c r="B11" s="8"/>
      <c r="C11" s="8"/>
      <c r="D11" s="8"/>
      <c r="E11" s="8"/>
      <c r="F11" s="8"/>
    </row>
    <row r="12" spans="2:8" ht="14.5" customHeight="1" x14ac:dyDescent="0.35">
      <c r="B12" s="131" t="s">
        <v>48</v>
      </c>
      <c r="C12" s="131"/>
      <c r="D12" s="12"/>
      <c r="E12" s="4" t="s">
        <v>0</v>
      </c>
      <c r="F12" s="3">
        <v>20</v>
      </c>
    </row>
    <row r="13" spans="2:8" ht="14.5" customHeight="1" x14ac:dyDescent="0.35">
      <c r="B13" s="131" t="s">
        <v>49</v>
      </c>
      <c r="C13" s="131"/>
      <c r="D13" s="35"/>
      <c r="E13" s="4" t="s">
        <v>0</v>
      </c>
      <c r="F13" s="3">
        <v>0.3</v>
      </c>
    </row>
    <row r="14" spans="2:8" ht="14.5" customHeight="1" x14ac:dyDescent="0.35">
      <c r="B14" s="135" t="s">
        <v>50</v>
      </c>
      <c r="C14" s="135"/>
      <c r="D14" s="36"/>
      <c r="E14" s="14" t="s">
        <v>559</v>
      </c>
      <c r="F14" s="3" t="s">
        <v>11</v>
      </c>
    </row>
    <row r="15" spans="2:8" ht="14.5" customHeight="1" x14ac:dyDescent="0.35">
      <c r="B15" s="134" t="s">
        <v>3</v>
      </c>
      <c r="C15" s="134"/>
      <c r="D15" s="15" t="s">
        <v>311</v>
      </c>
      <c r="E15" s="15" t="s">
        <v>29</v>
      </c>
      <c r="F15" s="19">
        <f xml:space="preserve">
IF(
F14=prms!$B$5,prms!$C$5,
IF(F14=prms!$B$6,prms!$C$6,
IF(F14=prms!$B$7,prms!$C$7,
IF(F14=prms!$B$8,prms!$C$8,
IF(F14=prms!$B$9,prms!$C$9,
IF(F14=prms!$B$10,prms!$C$10,
IF(F14=prms!$B$11,prms!$C$11,
IF(F14=prms!$B$12,prms!$C$12,
IF(F14=prms!$B$13,prms!$C$13,
IF(F14=prms!$B$14,prms!$C$14,
IF(F14=prms!$B$15,prms!$C$15,
IF(F14=prms!$B$16,prms!$C$16,
IF(F14=prms!$B$17,prms!$C$17,
IF(F14=prms!$B$18,prms!$C$18,
IF(F14=prms!$B$19,prms!$C$19,
IF(F14=prms!$B$20,prms!$C$20,
IF(F14=prms!$B$21,prms!$C$21,
IF(F14=prms!$B$22,prms!$C$22,
IF(F14=prms!$B$23,prms!$C$23,
IF(F14=prms!$B$24,prms!$C$24,
IF(F14=prms!$B$25,prms!$C$25,
IF(F14=prms!$B$26,prms!$C$26,
IF(F14=prms!$B$27,prms!$C$27,
IF(F14=prms!$B$28,prms!$C$28,
IF(F14=prms!$B$29,prms!$C$29,
)))))))))))))))))))))))))</f>
        <v>1690</v>
      </c>
    </row>
    <row r="16" spans="2:8" ht="14.5" customHeight="1" x14ac:dyDescent="0.35">
      <c r="B16" s="134" t="s">
        <v>4</v>
      </c>
      <c r="C16" s="134"/>
      <c r="D16" s="15" t="s">
        <v>312</v>
      </c>
      <c r="E16" s="15" t="s">
        <v>29</v>
      </c>
      <c r="F16" s="19">
        <f xml:space="preserve">
IF(
F14=prms!$B$5,prms!$D$5,
IF(F14=prms!$B$6,prms!$D$6,
IF(F14=prms!$B$7,prms!$D$7,
IF(F14=prms!$B$8,prms!$D$8,
IF(F14=prms!$B$9,prms!$D$9,
IF(F14=prms!$B$10,prms!$D$10,
IF(F14=prms!$B$11,prms!$D$11,
IF(F14=prms!$B$12,prms!$D$12,
IF(F14=prms!$B$13,prms!$D$13,
IF(F14=prms!$B$14,prms!$D$14,
IF(F14=prms!$B$15,prms!$D$15,
IF(F14=prms!$B$16,prms!$D$16,
IF(F14=prms!$B$17,prms!$D$17,
IF(F14=prms!$B$18,prms!$D$18,
IF(F14=prms!$B$19,prms!$D$19,
IF(F14=prms!$B$20,prms!$D$20,
IF(F14=prms!$B$21,prms!$D$21,
IF(F14=prms!$B$22,prms!$D$22,
IF(F14=prms!$B$23,prms!$D$23,
IF(F14=prms!$B$24,prms!$D$24,
IF(F14=prms!$B$25,prms!$D$25,
IF(F14=prms!$B$26,prms!$D$26,
IF(F14=prms!$B$27,prms!$D$27,
IF(F14=prms!$B$28,prms!$D$28,
IF(F14=prms!$B$29,prms!$D$29)))))))))))))))))))))))))</f>
        <v>1510</v>
      </c>
    </row>
    <row r="17" spans="2:6" ht="14.5" customHeight="1" x14ac:dyDescent="0.35">
      <c r="B17" s="15"/>
      <c r="C17" s="11"/>
      <c r="D17" s="15"/>
      <c r="E17" s="15"/>
    </row>
    <row r="18" spans="2:6" ht="14.5" customHeight="1" x14ac:dyDescent="0.35">
      <c r="B18" s="131" t="s">
        <v>51</v>
      </c>
      <c r="C18" s="131"/>
      <c r="D18" s="15"/>
      <c r="E18" s="4" t="s">
        <v>0</v>
      </c>
      <c r="F18" s="3">
        <v>20</v>
      </c>
    </row>
    <row r="19" spans="2:6" ht="14.5" customHeight="1" x14ac:dyDescent="0.35">
      <c r="B19" s="131" t="s">
        <v>52</v>
      </c>
      <c r="C19" s="131"/>
      <c r="D19" s="15"/>
      <c r="E19" s="4" t="s">
        <v>0</v>
      </c>
      <c r="F19" s="3">
        <v>0.3</v>
      </c>
    </row>
    <row r="20" spans="2:6" ht="14.5" customHeight="1" x14ac:dyDescent="0.35">
      <c r="B20" s="135" t="s">
        <v>53</v>
      </c>
      <c r="C20" s="135"/>
      <c r="D20" s="36"/>
      <c r="E20" s="67" t="s">
        <v>559</v>
      </c>
      <c r="F20" s="3" t="s">
        <v>13</v>
      </c>
    </row>
    <row r="21" spans="2:6" ht="14.5" customHeight="1" x14ac:dyDescent="0.35">
      <c r="B21" s="134" t="s">
        <v>3</v>
      </c>
      <c r="C21" s="134"/>
      <c r="D21" s="15" t="s">
        <v>313</v>
      </c>
      <c r="E21" s="15" t="s">
        <v>29</v>
      </c>
      <c r="F21" s="19">
        <f xml:space="preserve">
IF(
F20=prms!$B$5,prms!$C$5,
IF(F20=prms!$B$6,prms!$C$6,
IF(F20=prms!$B$7,prms!$C$7,
IF(F20=prms!$B$8,prms!$C$8,
IF(F20=prms!$B$9,prms!$C$9,
IF(F20=prms!$B$10,prms!$C$10,
IF(F20=prms!$B$11,prms!$C$11,
IF(F20=prms!$B$12,prms!$C$12,
IF(F20=prms!$B$13,prms!$C$13,
IF(F20=prms!$B$14,prms!$C$14,
IF(F20=prms!$B$15,prms!$C$15,
IF(F20=prms!$B$16,prms!$C$16,
IF(F20=prms!$B$17,prms!$C$17,
IF(F20=prms!$B$18,prms!$C$18,
IF(F20=prms!$B$19,prms!$C$19,
IF(F20=prms!$B$20,prms!$C$20,
IF(F20=prms!$B$21,prms!$C$21,
IF(F20=prms!$B$22,prms!$C$22,
IF(F20=prms!$B$23,prms!$C$23,
IF(F20=prms!$B$24,prms!$C$24,
IF(F20=prms!$B$25,prms!$C$25,
IF(F20=prms!$B$26,prms!$C$26,
IF(F20=prms!$B$27,prms!$C$27,
IF(F20=prms!$B$28,prms!$C$28,
IF(F20=prms!$B$29,prms!$C$29,
)))))))))))))))))))))))))</f>
        <v>2260</v>
      </c>
    </row>
    <row r="22" spans="2:6" ht="14.5" customHeight="1" x14ac:dyDescent="0.35">
      <c r="B22" s="134" t="s">
        <v>4</v>
      </c>
      <c r="C22" s="134"/>
      <c r="D22" s="15" t="s">
        <v>314</v>
      </c>
      <c r="E22" s="15" t="s">
        <v>29</v>
      </c>
      <c r="F22" s="19">
        <f xml:space="preserve">
IF(
F20=prms!$B$5,prms!$D$5,
IF(F20=prms!$B$6,prms!$D$6,
IF(F20=prms!$B$7,prms!$D$7,
IF(F20=prms!$B$8,prms!$D$8,
IF(F20=prms!$B$9,prms!$D$9,
IF(F20=prms!$B$10,prms!$D$10,
IF(F20=prms!$B$11,prms!$D$11,
IF(F20=prms!$B$12,prms!$D$12,
IF(F20=prms!$B$13,prms!$D$13,
IF(F20=prms!$B$14,prms!$D$14,
IF(F20=prms!$B$15,prms!$D$15,
IF(F20=prms!$B$16,prms!$D$16,
IF(F20=prms!$B$17,prms!$D$17,
IF(F20=prms!$B$18,prms!$D$18,
IF(F20=prms!$B$19,prms!$D$19,
IF(F20=prms!$B$20,prms!$D$20,
IF(F20=prms!$B$21,prms!$D$21,
IF(F20=prms!$B$22,prms!$D$22,
IF(F20=prms!$B$23,prms!$D$23,
IF(F20=prms!$B$24,prms!$D$24,
IF(F20=prms!$B$25,prms!$D$25,
IF(F20=prms!$B$26,prms!$D$26,
IF(F20=prms!$B$27,prms!$D$27,
IF(F20=prms!$B$28,prms!$D$28,
IF(F20=prms!$B$29,prms!$D$29)))))))))))))))))))))))))</f>
        <v>2020</v>
      </c>
    </row>
    <row r="23" spans="2:6" ht="14.5" customHeight="1" x14ac:dyDescent="0.35">
      <c r="B23" s="15"/>
      <c r="C23" s="11"/>
      <c r="D23" s="15"/>
      <c r="E23" s="15"/>
    </row>
    <row r="24" spans="2:6" ht="14.5" customHeight="1" x14ac:dyDescent="0.35">
      <c r="B24" s="131" t="s">
        <v>54</v>
      </c>
      <c r="C24" s="131"/>
      <c r="D24" s="15"/>
      <c r="E24" s="4" t="s">
        <v>0</v>
      </c>
      <c r="F24" s="3">
        <v>20</v>
      </c>
    </row>
    <row r="25" spans="2:6" ht="14.5" customHeight="1" x14ac:dyDescent="0.35">
      <c r="B25" s="131" t="s">
        <v>55</v>
      </c>
      <c r="C25" s="131"/>
      <c r="D25" s="15"/>
      <c r="E25" s="4" t="s">
        <v>0</v>
      </c>
      <c r="F25" s="3">
        <v>0.3</v>
      </c>
    </row>
    <row r="26" spans="2:6" ht="14.5" customHeight="1" x14ac:dyDescent="0.35">
      <c r="B26" s="135" t="s">
        <v>56</v>
      </c>
      <c r="C26" s="135"/>
      <c r="D26" s="36"/>
      <c r="E26" s="67" t="s">
        <v>559</v>
      </c>
      <c r="F26" s="3" t="s">
        <v>14</v>
      </c>
    </row>
    <row r="27" spans="2:6" ht="14.5" customHeight="1" x14ac:dyDescent="0.35">
      <c r="B27" s="134" t="s">
        <v>3</v>
      </c>
      <c r="C27" s="134"/>
      <c r="D27" s="15" t="s">
        <v>315</v>
      </c>
      <c r="E27" s="15" t="s">
        <v>29</v>
      </c>
      <c r="F27" s="19">
        <f xml:space="preserve">
IF(
F26=prms!$B$5,prms!$C$5,
IF(F26=prms!$B$6,prms!$C$6,
IF(F26=prms!$B$7,prms!$C$7,
IF(F26=prms!$B$8,prms!$C$8,
IF(F26=prms!$B$9,prms!$C$9,
IF(F26=prms!$B$10,prms!$C$10,
IF(F26=prms!$B$11,prms!$C$11,
IF(F26=prms!$B$12,prms!$C$12,
IF(F26=prms!$B$13,prms!$C$13,
IF(F26=prms!$B$14,prms!$C$14,
IF(F26=prms!$B$15,prms!$C$15,
IF(F26=prms!$B$16,prms!$C$16,
IF(F26=prms!$B$17,prms!$C$17,
IF(F26=prms!$B$18,prms!$C$18,
IF(F26=prms!$B$19,prms!$C$19,
IF(F26=prms!$B$20,prms!$C$20,
IF(F26=prms!$B$21,prms!$C$21,
IF(F26=prms!$B$22,prms!$C$22,
IF(F26=prms!$B$23,prms!$C$23,
IF(F26=prms!$B$24,prms!$C$24,
IF(F26=prms!$B$25,prms!$C$25,
IF(F26=prms!$B$26,prms!$C$26,
IF(F26=prms!$B$27,prms!$C$27,
IF(F26=prms!$B$28,prms!$C$28,
IF(F26=prms!$B$29,prms!$C$29,
)))))))))))))))))))))))))</f>
        <v>1960</v>
      </c>
    </row>
    <row r="28" spans="2:6" ht="14.5" customHeight="1" x14ac:dyDescent="0.35">
      <c r="B28" s="134" t="s">
        <v>4</v>
      </c>
      <c r="C28" s="134"/>
      <c r="D28" s="15" t="s">
        <v>316</v>
      </c>
      <c r="E28" s="15" t="s">
        <v>29</v>
      </c>
      <c r="F28" s="19">
        <f xml:space="preserve">
IF(
F26=prms!$B$5,prms!$D$5,
IF(F26=prms!$B$6,prms!$D$6,
IF(F26=prms!$B$7,prms!$D$7,
IF(F26=prms!$B$8,prms!$D$8,
IF(F26=prms!$B$9,prms!$D$9,
IF(F26=prms!$B$10,prms!$D$10,
IF(F26=prms!$B$11,prms!$D$11,
IF(F26=prms!$B$12,prms!$D$12,
IF(F26=prms!$B$13,prms!$D$13,
IF(F26=prms!$B$14,prms!$D$14,
IF(F26=prms!$B$15,prms!$D$15,
IF(F26=prms!$B$16,prms!$D$16,
IF(F26=prms!$B$17,prms!$D$17,
IF(F26=prms!$B$18,prms!$D$18,
IF(F26=prms!$B$19,prms!$D$19,
IF(F26=prms!$B$20,prms!$D$20,
IF(F26=prms!$B$21,prms!$D$21,
IF(F26=prms!$B$22,prms!$D$22,
IF(F26=prms!$B$23,prms!$D$23,
IF(F26=prms!$B$24,prms!$D$24,
IF(F26=prms!$B$25,prms!$D$25,
IF(F26=prms!$B$26,prms!$D$26,
IF(F26=prms!$B$27,prms!$D$27,
IF(F26=prms!$B$28,prms!$D$28,
IF(F26=prms!$B$29,prms!$D$29)))))))))))))))))))))))))</f>
        <v>1570</v>
      </c>
    </row>
    <row r="29" spans="2:6" ht="14.5" customHeight="1" x14ac:dyDescent="0.35">
      <c r="B29" s="15"/>
      <c r="C29" s="11"/>
      <c r="D29" s="15"/>
      <c r="E29" s="15"/>
    </row>
    <row r="30" spans="2:6" ht="14.5" customHeight="1" x14ac:dyDescent="0.35">
      <c r="B30" s="131" t="s">
        <v>57</v>
      </c>
      <c r="C30" s="131"/>
      <c r="D30" s="15"/>
      <c r="E30" s="4" t="s">
        <v>0</v>
      </c>
      <c r="F30" s="3">
        <v>20</v>
      </c>
    </row>
    <row r="31" spans="2:6" ht="14.5" customHeight="1" x14ac:dyDescent="0.35">
      <c r="B31" s="131" t="s">
        <v>58</v>
      </c>
      <c r="C31" s="131"/>
      <c r="D31" s="15"/>
      <c r="E31" s="4" t="s">
        <v>0</v>
      </c>
      <c r="F31" s="3">
        <v>0.3</v>
      </c>
    </row>
    <row r="32" spans="2:6" ht="14.5" customHeight="1" x14ac:dyDescent="0.35">
      <c r="B32" s="135" t="s">
        <v>59</v>
      </c>
      <c r="C32" s="135"/>
      <c r="D32" s="36"/>
      <c r="E32" s="67" t="s">
        <v>559</v>
      </c>
      <c r="F32" s="3" t="s">
        <v>15</v>
      </c>
    </row>
    <row r="33" spans="2:9" ht="14.5" customHeight="1" x14ac:dyDescent="0.35">
      <c r="B33" s="134" t="s">
        <v>3</v>
      </c>
      <c r="C33" s="134"/>
      <c r="D33" s="15" t="s">
        <v>317</v>
      </c>
      <c r="E33" s="15" t="s">
        <v>29</v>
      </c>
      <c r="F33" s="19">
        <f xml:space="preserve">
IF(
F32=prms!$B$5,prms!$C$5,
IF(F32=prms!$B$6,prms!$C$6,
IF(F32=prms!$B$7,prms!$C$7,
IF(F32=prms!$B$8,prms!$C$8,
IF(F32=prms!$B$9,prms!$C$9,
IF(F32=prms!$B$10,prms!$C$10,
IF(F32=prms!$B$11,prms!$C$11,
IF(F32=prms!$B$12,prms!$C$12,
IF(F32=prms!$B$13,prms!$C$13,
IF(F32=prms!$B$14,prms!$C$14,
IF(F32=prms!$B$15,prms!$C$15,
IF(F32=prms!$B$16,prms!$C$16,
IF(F32=prms!$B$17,prms!$C$17,
IF(F32=prms!$B$18,prms!$C$18,
IF(F32=prms!$B$19,prms!$C$19,
IF(F32=prms!$B$20,prms!$C$20,
IF(F32=prms!$B$21,prms!$C$21,
IF(F32=prms!$B$22,prms!$C$22,
IF(F32=prms!$B$23,prms!$C$23,
IF(F32=prms!$B$24,prms!$C$24,
IF(F32=prms!$B$25,prms!$C$25,
IF(F32=prms!$B$26,prms!$C$26,
IF(F32=prms!$B$27,prms!$C$27,
IF(F32=prms!$B$28,prms!$C$28,
IF(F32=prms!$B$29,prms!$C$29,
)))))))))))))))))))))))))</f>
        <v>2280</v>
      </c>
    </row>
    <row r="34" spans="2:9" ht="14.5" customHeight="1" x14ac:dyDescent="0.35">
      <c r="B34" s="134" t="s">
        <v>4</v>
      </c>
      <c r="C34" s="134"/>
      <c r="D34" s="15" t="s">
        <v>318</v>
      </c>
      <c r="E34" s="15" t="s">
        <v>29</v>
      </c>
      <c r="F34" s="19">
        <f xml:space="preserve">
IF(
F32=prms!$B$5,prms!$D$5,
IF(F32=prms!$B$6,prms!$D$6,
IF(F32=prms!$B$7,prms!$D$7,
IF(F32=prms!$B$8,prms!$D$8,
IF(F32=prms!$B$9,prms!$D$9,
IF(F32=prms!$B$10,prms!$D$10,
IF(F32=prms!$B$11,prms!$D$11,
IF(F32=prms!$B$12,prms!$D$12,
IF(F32=prms!$B$13,prms!$D$13,
IF(F32=prms!$B$14,prms!$D$14,
IF(F32=prms!$B$15,prms!$D$15,
IF(F32=prms!$B$16,prms!$D$16,
IF(F32=prms!$B$17,prms!$D$17,
IF(F32=prms!$B$18,prms!$D$18,
IF(F32=prms!$B$19,prms!$D$19,
IF(F32=prms!$B$20,prms!$D$20,
IF(F32=prms!$B$21,prms!$D$21,
IF(F32=prms!$B$22,prms!$D$22,
IF(F32=prms!$B$23,prms!$D$23,
IF(F32=prms!$B$24,prms!$D$24,
IF(F32=prms!$B$25,prms!$D$25,
IF(F32=prms!$B$26,prms!$D$26,
IF(F32=prms!$B$27,prms!$D$27,
IF(F32=prms!$B$28,prms!$D$28,
IF(F32=prms!$B$29,prms!$D$29)))))))))))))))))))))))))</f>
        <v>1720</v>
      </c>
    </row>
    <row r="35" spans="2:9" ht="14.5" customHeight="1" x14ac:dyDescent="0.35">
      <c r="B35" s="15"/>
      <c r="C35" s="11"/>
      <c r="D35" s="15"/>
      <c r="E35" s="15"/>
    </row>
    <row r="36" spans="2:9" ht="14.5" customHeight="1" x14ac:dyDescent="0.35">
      <c r="B36" s="131" t="s">
        <v>60</v>
      </c>
      <c r="C36" s="131"/>
      <c r="D36" s="15"/>
      <c r="E36" s="4" t="s">
        <v>0</v>
      </c>
      <c r="F36" s="3">
        <v>20</v>
      </c>
    </row>
    <row r="37" spans="2:9" ht="14.5" customHeight="1" x14ac:dyDescent="0.35">
      <c r="B37" s="131" t="s">
        <v>61</v>
      </c>
      <c r="C37" s="131"/>
      <c r="D37" s="15"/>
      <c r="E37" s="4" t="s">
        <v>0</v>
      </c>
      <c r="F37" s="3">
        <v>0.3</v>
      </c>
    </row>
    <row r="38" spans="2:9" ht="14.5" customHeight="1" x14ac:dyDescent="0.35">
      <c r="B38" s="135" t="s">
        <v>62</v>
      </c>
      <c r="C38" s="135"/>
      <c r="D38" s="36"/>
      <c r="E38" s="67" t="s">
        <v>559</v>
      </c>
      <c r="F38" s="3" t="s">
        <v>16</v>
      </c>
    </row>
    <row r="39" spans="2:9" ht="14.5" customHeight="1" x14ac:dyDescent="0.35">
      <c r="B39" s="134" t="s">
        <v>3</v>
      </c>
      <c r="C39" s="134"/>
      <c r="D39" s="15" t="s">
        <v>319</v>
      </c>
      <c r="E39" s="15" t="s">
        <v>29</v>
      </c>
      <c r="F39" s="19">
        <f xml:space="preserve">
IF(
F38=prms!$B$5,prms!$C$5,
IF(F38=prms!$B$6,prms!$C$6,
IF(F38=prms!$B$7,prms!$C$7,
IF(F38=prms!$B$8,prms!$C$8,
IF(F38=prms!$B$9,prms!$C$9,
IF(F38=prms!$B$10,prms!$C$10,
IF(F38=prms!$B$11,prms!$C$11,
IF(F38=prms!$B$12,prms!$C$12,
IF(F38=prms!$B$13,prms!$C$13,
IF(F38=prms!$B$14,prms!$C$14,
IF(F38=prms!$B$15,prms!$C$15,
IF(F38=prms!$B$16,prms!$C$16,
IF(F38=prms!$B$17,prms!$C$17,
IF(F38=prms!$B$18,prms!$C$18,
IF(F38=prms!$B$19,prms!$C$19,
IF(F38=prms!$B$20,prms!$C$20,
IF(F38=prms!$B$21,prms!$C$21,
IF(F38=prms!$B$22,prms!$C$22,
IF(F38=prms!$B$23,prms!$C$23,
IF(F38=prms!$B$24,prms!$C$24,
IF(F38=prms!$B$25,prms!$C$25,
IF(F38=prms!$B$26,prms!$C$26,
IF(F38=prms!$B$27,prms!$C$27,
IF(F38=prms!$B$28,prms!$C$28,
IF(F38=prms!$B$29,prms!$C$29,
)))))))))))))))))))))))))</f>
        <v>2790</v>
      </c>
    </row>
    <row r="40" spans="2:9" ht="14.5" customHeight="1" x14ac:dyDescent="0.35">
      <c r="B40" s="134" t="s">
        <v>4</v>
      </c>
      <c r="C40" s="134"/>
      <c r="D40" s="15" t="s">
        <v>320</v>
      </c>
      <c r="E40" s="15" t="s">
        <v>29</v>
      </c>
      <c r="F40" s="19">
        <f xml:space="preserve">
IF(
F38=prms!$B$5,prms!$D$5,
IF(F38=prms!$B$6,prms!$D$6,
IF(F38=prms!$B$7,prms!$D$7,
IF(F38=prms!$B$8,prms!$D$8,
IF(F38=prms!$B$9,prms!$D$9,
IF(F38=prms!$B$10,prms!$D$10,
IF(F38=prms!$B$11,prms!$D$11,
IF(F38=prms!$B$12,prms!$D$12,
IF(F38=prms!$B$13,prms!$D$13,
IF(F38=prms!$B$14,prms!$D$14,
IF(F38=prms!$B$15,prms!$D$15,
IF(F38=prms!$B$16,prms!$D$16,
IF(F38=prms!$B$17,prms!$D$17,
IF(F38=prms!$B$18,prms!$D$18,
IF(F38=prms!$B$19,prms!$D$19,
IF(F38=prms!$B$20,prms!$D$20,
IF(F38=prms!$B$21,prms!$D$21,
IF(F38=prms!$B$22,prms!$D$22,
IF(F38=prms!$B$23,prms!$D$23,
IF(F38=prms!$B$24,prms!$D$24,
IF(F38=prms!$B$25,prms!$D$25,
IF(F38=prms!$B$26,prms!$D$26,
IF(F38=prms!$B$27,prms!$D$27,
IF(F38=prms!$B$28,prms!$D$28,
IF(F38=prms!$B$29,prms!$D$29)))))))))))))))))))))))))</f>
        <v>1960</v>
      </c>
    </row>
    <row r="41" spans="2:9" ht="14.5" customHeight="1" x14ac:dyDescent="0.35">
      <c r="B41" s="15"/>
      <c r="C41" s="15"/>
      <c r="D41" s="15"/>
      <c r="E41" s="15"/>
    </row>
    <row r="42" spans="2:9" ht="14.5" customHeight="1" x14ac:dyDescent="0.35">
      <c r="B42" s="134" t="s">
        <v>187</v>
      </c>
      <c r="C42" s="134"/>
      <c r="D42" s="11"/>
      <c r="E42" s="15" t="s">
        <v>99</v>
      </c>
      <c r="F42" s="4">
        <f>F4*(F12*F13+F18*F19+F24*F25+F30*F31+F36*F37)</f>
        <v>30000</v>
      </c>
    </row>
    <row r="43" spans="2:9" ht="14.5" customHeight="1" x14ac:dyDescent="0.35">
      <c r="B43" s="15"/>
      <c r="C43" s="11"/>
      <c r="D43" s="11"/>
      <c r="E43" s="15"/>
    </row>
    <row r="44" spans="2:9" ht="14.5" customHeight="1" x14ac:dyDescent="0.35">
      <c r="B44" s="133" t="s">
        <v>218</v>
      </c>
      <c r="C44" s="133"/>
      <c r="D44" s="133"/>
      <c r="E44" s="133"/>
      <c r="F44" s="133"/>
    </row>
    <row r="45" spans="2:9" ht="14.5" customHeight="1" x14ac:dyDescent="0.35">
      <c r="B45" s="8"/>
      <c r="C45" s="8"/>
      <c r="D45" s="8"/>
      <c r="E45" s="8"/>
      <c r="F45" s="8"/>
    </row>
    <row r="46" spans="2:9" ht="14.5" customHeight="1" x14ac:dyDescent="0.35">
      <c r="B46" s="131" t="s">
        <v>206</v>
      </c>
      <c r="C46" s="131"/>
      <c r="D46" s="12"/>
      <c r="E46" s="79" t="s">
        <v>70</v>
      </c>
      <c r="F46" s="3">
        <v>1</v>
      </c>
      <c r="G46" s="132" t="s">
        <v>101</v>
      </c>
      <c r="H46" s="132"/>
    </row>
    <row r="47" spans="2:9" ht="14.5" customHeight="1" x14ac:dyDescent="0.35">
      <c r="B47" s="131" t="s">
        <v>207</v>
      </c>
      <c r="C47" s="131"/>
      <c r="D47" s="35"/>
      <c r="E47" s="67" t="s">
        <v>559</v>
      </c>
      <c r="F47" s="3" t="s">
        <v>191</v>
      </c>
      <c r="G47" s="32"/>
      <c r="H47" s="32"/>
    </row>
    <row r="48" spans="2:9" ht="14.5" customHeight="1" x14ac:dyDescent="0.35">
      <c r="B48" s="131" t="s">
        <v>37</v>
      </c>
      <c r="C48" s="131"/>
      <c r="D48" s="15"/>
      <c r="E48" s="4" t="s">
        <v>38</v>
      </c>
      <c r="F48" s="3">
        <v>60</v>
      </c>
      <c r="G48" s="132" t="s">
        <v>84</v>
      </c>
      <c r="H48" s="132"/>
      <c r="I48" s="13" t="str">
        <f>IF($F$47=prms!I5,prms!J5,IF($F$47=prms!I6,prms!J6,IF('2 FILL'!$F$47=prms!I7,prms!J7,IF('2 FILL'!$F$47=prms!I8,prms!J8,IF('2 FILL'!$F$47=prms!I9,prms!J9,1)))))</f>
        <v>52 - 71</v>
      </c>
    </row>
    <row r="49" spans="2:9" ht="14.5" customHeight="1" x14ac:dyDescent="0.35">
      <c r="B49" s="131" t="s">
        <v>190</v>
      </c>
      <c r="C49" s="131"/>
      <c r="D49" s="15"/>
      <c r="E49" s="4" t="s">
        <v>99</v>
      </c>
      <c r="F49" s="25">
        <v>1.5</v>
      </c>
      <c r="G49" s="132" t="s">
        <v>84</v>
      </c>
      <c r="H49" s="132"/>
      <c r="I49" s="13" t="str">
        <f>IF($F$47=prms!I5,prms!K5,IF($F$47=prms!I6,prms!K6,IF('2 FILL'!$F$47=prms!I7,prms!K7,IF('2 FILL'!$F$47=prms!I8,prms!K8,IF('2 FILL'!$F$47=prms!I9,prms!K9,1)))))</f>
        <v>0.23 - 1.80</v>
      </c>
    </row>
    <row r="50" spans="2:9" ht="14.5" customHeight="1" x14ac:dyDescent="0.35">
      <c r="B50" s="131" t="s">
        <v>45</v>
      </c>
      <c r="C50" s="131"/>
      <c r="D50" s="15" t="s">
        <v>208</v>
      </c>
      <c r="E50" s="4" t="s">
        <v>46</v>
      </c>
      <c r="F50" s="3">
        <v>0.25</v>
      </c>
      <c r="G50" s="132" t="s">
        <v>83</v>
      </c>
      <c r="H50" s="132"/>
      <c r="I50" s="132"/>
    </row>
    <row r="51" spans="2:9" ht="14.5" customHeight="1" x14ac:dyDescent="0.35">
      <c r="B51" s="131" t="s">
        <v>209</v>
      </c>
      <c r="C51" s="131"/>
      <c r="D51" s="15" t="s">
        <v>210</v>
      </c>
      <c r="E51" s="4" t="s">
        <v>286</v>
      </c>
      <c r="F51" s="28">
        <v>5</v>
      </c>
      <c r="G51" s="132" t="s">
        <v>84</v>
      </c>
      <c r="H51" s="132"/>
      <c r="I51" s="13" t="s">
        <v>211</v>
      </c>
    </row>
    <row r="52" spans="2:9" ht="14.5" customHeight="1" x14ac:dyDescent="0.35">
      <c r="B52" s="131" t="s">
        <v>79</v>
      </c>
      <c r="C52" s="131"/>
      <c r="D52" s="15" t="s">
        <v>321</v>
      </c>
      <c r="E52" s="4" t="s">
        <v>80</v>
      </c>
      <c r="F52" s="3">
        <v>0.85</v>
      </c>
      <c r="G52" s="10"/>
      <c r="H52" s="10"/>
      <c r="I52" s="10"/>
    </row>
    <row r="53" spans="2:9" ht="14.5" customHeight="1" x14ac:dyDescent="0.35">
      <c r="B53" s="131" t="s">
        <v>81</v>
      </c>
      <c r="C53" s="131"/>
      <c r="D53" s="15" t="s">
        <v>322</v>
      </c>
      <c r="E53" s="4" t="s">
        <v>82</v>
      </c>
      <c r="F53" s="18">
        <v>0.01</v>
      </c>
      <c r="G53" s="132" t="s">
        <v>84</v>
      </c>
      <c r="H53" s="132"/>
      <c r="I53" s="13" t="s">
        <v>85</v>
      </c>
    </row>
    <row r="54" spans="2:9" ht="14.5" customHeight="1" x14ac:dyDescent="0.35">
      <c r="B54" s="131" t="s">
        <v>63</v>
      </c>
      <c r="C54" s="131"/>
      <c r="D54" s="15" t="s">
        <v>212</v>
      </c>
      <c r="E54" s="4" t="s">
        <v>70</v>
      </c>
      <c r="F54" s="17">
        <f>0.05862*EXP(0.00101*$F$16)</f>
        <v>0.26939425411124285</v>
      </c>
      <c r="G54" s="10"/>
      <c r="H54" s="10"/>
      <c r="I54" s="10"/>
    </row>
    <row r="55" spans="2:9" ht="14.5" customHeight="1" x14ac:dyDescent="0.35">
      <c r="B55" s="131" t="s">
        <v>71</v>
      </c>
      <c r="C55" s="131"/>
      <c r="D55" s="15" t="s">
        <v>213</v>
      </c>
      <c r="E55" s="4" t="s">
        <v>70</v>
      </c>
      <c r="F55" s="17">
        <f>0.05862*EXP(0.00101*$F$22)</f>
        <v>0.45091368495760586</v>
      </c>
      <c r="G55" s="10"/>
      <c r="H55" s="10"/>
      <c r="I55" s="10"/>
    </row>
    <row r="56" spans="2:9" ht="14.5" customHeight="1" x14ac:dyDescent="0.35">
      <c r="B56" s="131" t="s">
        <v>72</v>
      </c>
      <c r="C56" s="131"/>
      <c r="D56" s="15" t="s">
        <v>214</v>
      </c>
      <c r="E56" s="4" t="s">
        <v>70</v>
      </c>
      <c r="F56" s="17">
        <f>0.05862*EXP(0.00101*$F$28)</f>
        <v>0.28622434754309095</v>
      </c>
      <c r="G56" s="10"/>
      <c r="H56" s="10"/>
      <c r="I56" s="10"/>
    </row>
    <row r="57" spans="2:9" ht="14.5" customHeight="1" x14ac:dyDescent="0.35">
      <c r="B57" s="131" t="s">
        <v>73</v>
      </c>
      <c r="C57" s="131"/>
      <c r="D57" s="15" t="s">
        <v>215</v>
      </c>
      <c r="E57" s="4" t="s">
        <v>70</v>
      </c>
      <c r="F57" s="17">
        <f>0.05862*EXP(0.00101*$F$34)</f>
        <v>0.33304444025077218</v>
      </c>
      <c r="G57" s="10"/>
      <c r="H57" s="10"/>
      <c r="I57" s="10"/>
    </row>
    <row r="58" spans="2:9" ht="14.5" customHeight="1" x14ac:dyDescent="0.35">
      <c r="B58" s="131" t="s">
        <v>74</v>
      </c>
      <c r="C58" s="131"/>
      <c r="D58" s="15" t="s">
        <v>216</v>
      </c>
      <c r="E58" s="4" t="s">
        <v>70</v>
      </c>
      <c r="F58" s="17">
        <f>0.05862*EXP(0.00101*$F$40)</f>
        <v>0.42439979991366172</v>
      </c>
      <c r="G58" s="10"/>
      <c r="H58" s="10"/>
      <c r="I58" s="10"/>
    </row>
    <row r="59" spans="2:9" ht="14.5" customHeight="1" x14ac:dyDescent="0.35">
      <c r="B59" s="131" t="s">
        <v>78</v>
      </c>
      <c r="C59" s="131"/>
      <c r="D59" s="15" t="s">
        <v>217</v>
      </c>
      <c r="E59" s="4" t="s">
        <v>70</v>
      </c>
      <c r="F59" s="30">
        <f>0.00868*F51+0.15333</f>
        <v>0.19672999999999999</v>
      </c>
    </row>
    <row r="60" spans="2:9" ht="14.5" customHeight="1" x14ac:dyDescent="0.35">
      <c r="B60" s="131" t="s">
        <v>96</v>
      </c>
      <c r="C60" s="131"/>
      <c r="D60" s="15" t="s">
        <v>323</v>
      </c>
      <c r="E60" s="4" t="s">
        <v>88</v>
      </c>
      <c r="F60" s="16">
        <f>F48*F50*( (F54*$F$13+F55*$F$19+F56*$F$25+F57*$F$31+F58*$F$37)/($F$13+$F$19+$F$25+$F$31+$F$37) +F59)/2*1/F52*F53</f>
        <v>4.8487526943112473E-2</v>
      </c>
    </row>
    <row r="61" spans="2:9" ht="14.5" customHeight="1" x14ac:dyDescent="0.35">
      <c r="D61" s="15"/>
    </row>
    <row r="62" spans="2:9" ht="14.5" customHeight="1" x14ac:dyDescent="0.35">
      <c r="B62" s="131" t="s">
        <v>219</v>
      </c>
      <c r="C62" s="131"/>
      <c r="D62" s="35"/>
      <c r="E62" s="79" t="s">
        <v>70</v>
      </c>
      <c r="F62" s="3">
        <v>1</v>
      </c>
      <c r="G62" s="132" t="s">
        <v>101</v>
      </c>
      <c r="H62" s="132"/>
    </row>
    <row r="63" spans="2:9" ht="14.5" customHeight="1" x14ac:dyDescent="0.35">
      <c r="B63" s="131" t="s">
        <v>220</v>
      </c>
      <c r="C63" s="131"/>
      <c r="D63" s="35"/>
      <c r="E63" s="67" t="s">
        <v>559</v>
      </c>
      <c r="F63" s="3" t="s">
        <v>192</v>
      </c>
      <c r="G63" s="32"/>
      <c r="H63" s="32"/>
    </row>
    <row r="64" spans="2:9" ht="14.5" customHeight="1" x14ac:dyDescent="0.35">
      <c r="B64" s="131" t="s">
        <v>37</v>
      </c>
      <c r="C64" s="131"/>
      <c r="D64" s="15"/>
      <c r="E64" s="4" t="s">
        <v>38</v>
      </c>
      <c r="F64" s="3">
        <v>90</v>
      </c>
      <c r="G64" s="132" t="s">
        <v>84</v>
      </c>
      <c r="H64" s="132"/>
      <c r="I64" s="13" t="str">
        <f>IF($F$63=prms!I5,prms!J5,IF($F$63=prms!I6,prms!J6,IF('2 FILL'!$F$63=prms!I7,prms!J7,IF('2 FILL'!$F$63=prms!I8,prms!J8,IF('2 FILL'!$F$63=prms!I9,prms!J9,1)))))</f>
        <v>46 - 126</v>
      </c>
    </row>
    <row r="65" spans="2:9" ht="14.5" customHeight="1" x14ac:dyDescent="0.35">
      <c r="B65" s="131" t="s">
        <v>190</v>
      </c>
      <c r="C65" s="131"/>
      <c r="D65" s="15"/>
      <c r="E65" s="4" t="s">
        <v>99</v>
      </c>
      <c r="F65" s="25">
        <v>3</v>
      </c>
      <c r="G65" s="132" t="s">
        <v>84</v>
      </c>
      <c r="H65" s="132"/>
      <c r="I65" s="13" t="str">
        <f>IF($F$63=prms!I5,prms!K5,IF($F$63=prms!I6,prms!K6,IF('2 FILL'!$F$63=prms!I7,prms!K7,IF('2 FILL'!$F$63=prms!I8,prms!K8,IF('2 FILL'!$F$63=prms!I9,prms!K9,1)))))</f>
        <v>0.80 - 5.00</v>
      </c>
    </row>
    <row r="66" spans="2:9" ht="14.5" customHeight="1" x14ac:dyDescent="0.35">
      <c r="B66" s="131" t="s">
        <v>45</v>
      </c>
      <c r="C66" s="131"/>
      <c r="D66" s="15" t="s">
        <v>221</v>
      </c>
      <c r="E66" s="4" t="s">
        <v>46</v>
      </c>
      <c r="F66" s="3">
        <v>0.25</v>
      </c>
      <c r="G66" s="132" t="s">
        <v>83</v>
      </c>
      <c r="H66" s="132"/>
      <c r="I66" s="132"/>
    </row>
    <row r="67" spans="2:9" ht="14.5" customHeight="1" x14ac:dyDescent="0.35">
      <c r="B67" s="131" t="s">
        <v>209</v>
      </c>
      <c r="C67" s="131"/>
      <c r="D67" s="15" t="s">
        <v>222</v>
      </c>
      <c r="E67" s="4" t="s">
        <v>286</v>
      </c>
      <c r="F67" s="3">
        <v>5</v>
      </c>
      <c r="G67" s="132" t="s">
        <v>84</v>
      </c>
      <c r="H67" s="132"/>
      <c r="I67" s="13" t="s">
        <v>211</v>
      </c>
    </row>
    <row r="68" spans="2:9" ht="14.5" customHeight="1" x14ac:dyDescent="0.35">
      <c r="B68" s="131" t="s">
        <v>79</v>
      </c>
      <c r="C68" s="131"/>
      <c r="D68" s="15" t="s">
        <v>324</v>
      </c>
      <c r="E68" s="4" t="s">
        <v>80</v>
      </c>
      <c r="F68" s="3">
        <v>0.85</v>
      </c>
      <c r="G68" s="10"/>
      <c r="H68" s="10"/>
      <c r="I68" s="10"/>
    </row>
    <row r="69" spans="2:9" ht="14.5" customHeight="1" x14ac:dyDescent="0.35">
      <c r="B69" s="131" t="s">
        <v>81</v>
      </c>
      <c r="C69" s="131"/>
      <c r="D69" s="15" t="s">
        <v>325</v>
      </c>
      <c r="E69" s="4" t="s">
        <v>82</v>
      </c>
      <c r="F69" s="18">
        <v>0.01</v>
      </c>
      <c r="G69" s="132" t="s">
        <v>84</v>
      </c>
      <c r="H69" s="132"/>
      <c r="I69" s="13" t="s">
        <v>85</v>
      </c>
    </row>
    <row r="70" spans="2:9" ht="14.5" customHeight="1" x14ac:dyDescent="0.35">
      <c r="B70" s="131" t="s">
        <v>63</v>
      </c>
      <c r="C70" s="131"/>
      <c r="D70" s="15" t="s">
        <v>223</v>
      </c>
      <c r="E70" s="4" t="s">
        <v>70</v>
      </c>
      <c r="F70" s="17">
        <f>0.05862*EXP(0.00101*$F$16)</f>
        <v>0.26939425411124285</v>
      </c>
      <c r="G70" s="10"/>
      <c r="H70" s="10"/>
      <c r="I70" s="10"/>
    </row>
    <row r="71" spans="2:9" ht="14.5" customHeight="1" x14ac:dyDescent="0.35">
      <c r="B71" s="131" t="s">
        <v>71</v>
      </c>
      <c r="C71" s="131"/>
      <c r="D71" s="15" t="s">
        <v>224</v>
      </c>
      <c r="E71" s="4" t="s">
        <v>70</v>
      </c>
      <c r="F71" s="17">
        <f>0.05862*EXP(0.00101*$F$22)</f>
        <v>0.45091368495760586</v>
      </c>
      <c r="G71" s="10"/>
      <c r="H71" s="10"/>
      <c r="I71" s="10"/>
    </row>
    <row r="72" spans="2:9" ht="14.5" customHeight="1" x14ac:dyDescent="0.35">
      <c r="B72" s="131" t="s">
        <v>72</v>
      </c>
      <c r="C72" s="131"/>
      <c r="D72" s="15" t="s">
        <v>225</v>
      </c>
      <c r="E72" s="4" t="s">
        <v>70</v>
      </c>
      <c r="F72" s="17">
        <f>0.05862*EXP(0.00101*$F$28)</f>
        <v>0.28622434754309095</v>
      </c>
      <c r="G72" s="10"/>
      <c r="H72" s="10"/>
      <c r="I72" s="10"/>
    </row>
    <row r="73" spans="2:9" ht="14.5" customHeight="1" x14ac:dyDescent="0.35">
      <c r="B73" s="131" t="s">
        <v>73</v>
      </c>
      <c r="C73" s="131"/>
      <c r="D73" s="15" t="s">
        <v>226</v>
      </c>
      <c r="E73" s="4" t="s">
        <v>70</v>
      </c>
      <c r="F73" s="17">
        <f>0.05862*EXP(0.00101*$F$34)</f>
        <v>0.33304444025077218</v>
      </c>
      <c r="G73" s="10"/>
      <c r="H73" s="10"/>
      <c r="I73" s="10"/>
    </row>
    <row r="74" spans="2:9" ht="14.5" customHeight="1" x14ac:dyDescent="0.35">
      <c r="B74" s="131" t="s">
        <v>74</v>
      </c>
      <c r="C74" s="131"/>
      <c r="D74" s="15" t="s">
        <v>227</v>
      </c>
      <c r="E74" s="4" t="s">
        <v>70</v>
      </c>
      <c r="F74" s="17">
        <f>0.05862*EXP(0.00101*$F$40)</f>
        <v>0.42439979991366172</v>
      </c>
      <c r="G74" s="10"/>
      <c r="H74" s="10"/>
      <c r="I74" s="10"/>
    </row>
    <row r="75" spans="2:9" ht="14.5" customHeight="1" x14ac:dyDescent="0.35">
      <c r="B75" s="131" t="s">
        <v>78</v>
      </c>
      <c r="C75" s="131"/>
      <c r="D75" s="15" t="s">
        <v>228</v>
      </c>
      <c r="E75" s="4" t="s">
        <v>70</v>
      </c>
      <c r="F75" s="30">
        <f>0.00868*F67+0.15333</f>
        <v>0.19672999999999999</v>
      </c>
      <c r="G75" s="10"/>
      <c r="H75" s="10"/>
      <c r="I75" s="10"/>
    </row>
    <row r="76" spans="2:9" ht="14.5" customHeight="1" x14ac:dyDescent="0.35">
      <c r="B76" s="131" t="s">
        <v>96</v>
      </c>
      <c r="C76" s="131"/>
      <c r="D76" s="15" t="s">
        <v>326</v>
      </c>
      <c r="E76" s="4" t="s">
        <v>88</v>
      </c>
      <c r="F76" s="16">
        <f>F64*F66*( (F70*$F$13+F71*$F$19+F72*$F$25+F73*$F$31+F74*$F$37)/($F$13+$F$19+$F$25+$F$31+$F$37) +F75)/2*1/F68*F69</f>
        <v>7.2731290414668706E-2</v>
      </c>
    </row>
    <row r="77" spans="2:9" ht="14.5" customHeight="1" x14ac:dyDescent="0.35">
      <c r="D77" s="15"/>
    </row>
    <row r="78" spans="2:9" ht="14.5" customHeight="1" x14ac:dyDescent="0.35">
      <c r="B78" s="131" t="s">
        <v>229</v>
      </c>
      <c r="C78" s="131"/>
      <c r="D78" s="35"/>
      <c r="E78" s="79" t="s">
        <v>70</v>
      </c>
      <c r="F78" s="3">
        <v>1</v>
      </c>
      <c r="G78" s="132" t="s">
        <v>101</v>
      </c>
      <c r="H78" s="132"/>
    </row>
    <row r="79" spans="2:9" ht="14.5" customHeight="1" x14ac:dyDescent="0.35">
      <c r="B79" s="131" t="s">
        <v>230</v>
      </c>
      <c r="C79" s="131"/>
      <c r="D79" s="35"/>
      <c r="E79" s="67" t="s">
        <v>559</v>
      </c>
      <c r="F79" s="3" t="s">
        <v>193</v>
      </c>
      <c r="G79" s="13"/>
      <c r="H79" s="13"/>
    </row>
    <row r="80" spans="2:9" ht="14.5" customHeight="1" x14ac:dyDescent="0.35">
      <c r="B80" s="131" t="s">
        <v>37</v>
      </c>
      <c r="C80" s="131"/>
      <c r="D80" s="15"/>
      <c r="E80" s="4" t="s">
        <v>38</v>
      </c>
      <c r="F80" s="3">
        <v>220</v>
      </c>
      <c r="G80" s="132" t="s">
        <v>84</v>
      </c>
      <c r="H80" s="132"/>
      <c r="I80" s="13" t="str">
        <f>IF($F$79=prms!I5,prms!J5,IF($F$79=prms!I6,prms!J6,IF('2 FILL'!$F$79=prms!I7,prms!J7,IF('2 FILL'!$F$79=prms!I8,prms!J8,IF('2 FILL'!$F$79=prms!I9,prms!J9,1)))))</f>
        <v>140 - 303</v>
      </c>
    </row>
    <row r="81" spans="2:9" ht="14.5" customHeight="1" x14ac:dyDescent="0.35">
      <c r="B81" s="131" t="s">
        <v>190</v>
      </c>
      <c r="C81" s="131"/>
      <c r="D81" s="15"/>
      <c r="E81" s="4" t="s">
        <v>99</v>
      </c>
      <c r="F81" s="25">
        <v>9</v>
      </c>
      <c r="G81" s="132" t="s">
        <v>84</v>
      </c>
      <c r="H81" s="132"/>
      <c r="I81" s="13" t="str">
        <f>IF($F$79=prms!I5,prms!K5,IF($F$79=prms!I6,prms!K6,IF('2 FILL'!$F$79=prms!I7,prms!K7,IF('2 FILL'!$F$79=prms!I8,prms!K8,IF('2 FILL'!$F$79=prms!I9,prms!K9,1)))))</f>
        <v>3.00 - 14.00</v>
      </c>
    </row>
    <row r="82" spans="2:9" ht="14.5" customHeight="1" x14ac:dyDescent="0.35">
      <c r="B82" s="131" t="s">
        <v>45</v>
      </c>
      <c r="C82" s="131"/>
      <c r="D82" s="15" t="s">
        <v>231</v>
      </c>
      <c r="E82" s="4" t="s">
        <v>46</v>
      </c>
      <c r="F82" s="3">
        <v>0.25</v>
      </c>
      <c r="G82" s="132" t="s">
        <v>83</v>
      </c>
      <c r="H82" s="132"/>
      <c r="I82" s="132"/>
    </row>
    <row r="83" spans="2:9" ht="14.5" customHeight="1" x14ac:dyDescent="0.35">
      <c r="B83" s="131" t="s">
        <v>209</v>
      </c>
      <c r="C83" s="131"/>
      <c r="D83" s="15" t="s">
        <v>232</v>
      </c>
      <c r="E83" s="4" t="s">
        <v>286</v>
      </c>
      <c r="F83" s="3">
        <v>5</v>
      </c>
      <c r="G83" s="132" t="s">
        <v>84</v>
      </c>
      <c r="H83" s="132"/>
      <c r="I83" s="13" t="s">
        <v>211</v>
      </c>
    </row>
    <row r="84" spans="2:9" ht="14.5" customHeight="1" x14ac:dyDescent="0.35">
      <c r="B84" s="131" t="s">
        <v>79</v>
      </c>
      <c r="C84" s="131"/>
      <c r="D84" s="15" t="s">
        <v>327</v>
      </c>
      <c r="E84" s="4" t="s">
        <v>80</v>
      </c>
      <c r="F84" s="3">
        <v>0.85</v>
      </c>
    </row>
    <row r="85" spans="2:9" ht="14.5" customHeight="1" x14ac:dyDescent="0.35">
      <c r="B85" s="131" t="s">
        <v>81</v>
      </c>
      <c r="C85" s="131"/>
      <c r="D85" s="15" t="s">
        <v>328</v>
      </c>
      <c r="E85" s="4" t="s">
        <v>82</v>
      </c>
      <c r="F85" s="18">
        <v>0.01</v>
      </c>
      <c r="G85" s="132" t="s">
        <v>84</v>
      </c>
      <c r="H85" s="132"/>
      <c r="I85" s="13" t="s">
        <v>85</v>
      </c>
    </row>
    <row r="86" spans="2:9" ht="14.5" customHeight="1" x14ac:dyDescent="0.35">
      <c r="B86" s="131" t="s">
        <v>63</v>
      </c>
      <c r="C86" s="131"/>
      <c r="D86" s="15" t="s">
        <v>233</v>
      </c>
      <c r="E86" s="4" t="s">
        <v>70</v>
      </c>
      <c r="F86" s="17">
        <f>0.05862*EXP(0.00101*$F$16)</f>
        <v>0.26939425411124285</v>
      </c>
    </row>
    <row r="87" spans="2:9" ht="14.5" customHeight="1" x14ac:dyDescent="0.35">
      <c r="B87" s="131" t="s">
        <v>71</v>
      </c>
      <c r="C87" s="131"/>
      <c r="D87" s="15" t="s">
        <v>234</v>
      </c>
      <c r="E87" s="4" t="s">
        <v>70</v>
      </c>
      <c r="F87" s="17">
        <f>0.05862*EXP(0.00101*$F$22)</f>
        <v>0.45091368495760586</v>
      </c>
    </row>
    <row r="88" spans="2:9" ht="14.5" customHeight="1" x14ac:dyDescent="0.35">
      <c r="B88" s="131" t="s">
        <v>72</v>
      </c>
      <c r="C88" s="131"/>
      <c r="D88" s="15" t="s">
        <v>235</v>
      </c>
      <c r="E88" s="4" t="s">
        <v>70</v>
      </c>
      <c r="F88" s="17">
        <f>0.05862*EXP(0.00101*$F$28)</f>
        <v>0.28622434754309095</v>
      </c>
    </row>
    <row r="89" spans="2:9" ht="14.5" customHeight="1" x14ac:dyDescent="0.35">
      <c r="B89" s="131" t="s">
        <v>73</v>
      </c>
      <c r="C89" s="131"/>
      <c r="D89" s="15" t="s">
        <v>236</v>
      </c>
      <c r="E89" s="4" t="s">
        <v>70</v>
      </c>
      <c r="F89" s="17">
        <f>0.05862*EXP(0.00101*$F$34)</f>
        <v>0.33304444025077218</v>
      </c>
    </row>
    <row r="90" spans="2:9" ht="14.5" customHeight="1" x14ac:dyDescent="0.35">
      <c r="B90" s="131" t="s">
        <v>74</v>
      </c>
      <c r="C90" s="131"/>
      <c r="D90" s="15" t="s">
        <v>237</v>
      </c>
      <c r="E90" s="4" t="s">
        <v>70</v>
      </c>
      <c r="F90" s="17">
        <f>0.05862*EXP(0.00101*$F$40)</f>
        <v>0.42439979991366172</v>
      </c>
    </row>
    <row r="91" spans="2:9" ht="14.5" customHeight="1" x14ac:dyDescent="0.35">
      <c r="B91" s="131" t="s">
        <v>78</v>
      </c>
      <c r="C91" s="131"/>
      <c r="D91" s="15" t="s">
        <v>238</v>
      </c>
      <c r="E91" s="4" t="s">
        <v>70</v>
      </c>
      <c r="F91" s="30">
        <f>0.00868*F83+0.15333</f>
        <v>0.19672999999999999</v>
      </c>
    </row>
    <row r="92" spans="2:9" ht="14.5" customHeight="1" x14ac:dyDescent="0.35">
      <c r="B92" s="131" t="s">
        <v>96</v>
      </c>
      <c r="C92" s="131"/>
      <c r="D92" s="15" t="s">
        <v>329</v>
      </c>
      <c r="E92" s="4" t="s">
        <v>88</v>
      </c>
      <c r="F92" s="16">
        <f>F80*F82*( (F86*$F$13+F87*$F$19+F88*$F$25+F89*$F$31+F90*$F$37)/($F$13+$F$19+$F$25+$F$31+$F$37) +F91)/2*1/F84*F85</f>
        <v>0.17778759879141237</v>
      </c>
    </row>
    <row r="93" spans="2:9" ht="14.5" customHeight="1" x14ac:dyDescent="0.35">
      <c r="F93" s="16"/>
    </row>
    <row r="94" spans="2:9" ht="14.5" customHeight="1" x14ac:dyDescent="0.35">
      <c r="B94" s="133" t="s">
        <v>240</v>
      </c>
      <c r="C94" s="133"/>
      <c r="D94" s="133"/>
      <c r="E94" s="133"/>
      <c r="F94" s="133"/>
    </row>
    <row r="95" spans="2:9" ht="14.5" customHeight="1" x14ac:dyDescent="0.35">
      <c r="F95" s="16"/>
    </row>
    <row r="96" spans="2:9" ht="14.5" customHeight="1" x14ac:dyDescent="0.35">
      <c r="B96" s="131" t="s">
        <v>148</v>
      </c>
      <c r="C96" s="131"/>
      <c r="D96" s="12"/>
      <c r="E96" s="79" t="s">
        <v>70</v>
      </c>
      <c r="F96" s="3">
        <v>1</v>
      </c>
      <c r="G96" s="132" t="s">
        <v>101</v>
      </c>
      <c r="H96" s="132"/>
    </row>
    <row r="97" spans="2:9" ht="14.5" customHeight="1" x14ac:dyDescent="0.35">
      <c r="B97" s="131" t="s">
        <v>149</v>
      </c>
      <c r="C97" s="131"/>
      <c r="D97" s="35"/>
      <c r="E97" s="67" t="s">
        <v>559</v>
      </c>
      <c r="F97" s="18" t="s">
        <v>135</v>
      </c>
    </row>
    <row r="98" spans="2:9" ht="14.5" customHeight="1" x14ac:dyDescent="0.35">
      <c r="B98" s="131" t="s">
        <v>160</v>
      </c>
      <c r="C98" s="131"/>
      <c r="D98" s="15" t="s">
        <v>161</v>
      </c>
      <c r="E98" s="4" t="s">
        <v>99</v>
      </c>
      <c r="F98" s="27">
        <v>7.5</v>
      </c>
      <c r="G98" s="132" t="s">
        <v>84</v>
      </c>
      <c r="H98" s="132"/>
      <c r="I98" s="13" t="str">
        <f>IF(F97=prms!$AA$5,prms!$AC$5, IF('2 FILL'!F97=prms!$AA$6,prms!$AC$6, IF('2 FILL'!F97=prms!$AA$7,prms!$AC$7, IF('2 FILL'!F97=prms!$AA$8,prms!$AC$8,IF('2 FILL'!F97=prms!$AA$9,prms!$AC$9,1)))))</f>
        <v>5 - 10</v>
      </c>
    </row>
    <row r="99" spans="2:9" ht="14.5" customHeight="1" x14ac:dyDescent="0.35">
      <c r="B99" s="131" t="s">
        <v>143</v>
      </c>
      <c r="C99" s="131"/>
      <c r="D99" s="15" t="s">
        <v>164</v>
      </c>
      <c r="E99" s="15" t="s">
        <v>144</v>
      </c>
      <c r="F99" s="25">
        <v>0.15</v>
      </c>
      <c r="G99" s="132" t="s">
        <v>84</v>
      </c>
      <c r="H99" s="132"/>
      <c r="I99" s="13" t="str">
        <f>IF(F97=prms!$AA$5,prms!$AD$5, IF('2 FILL'!F97=prms!$AA$6,prms!$AD$6, IF('2 FILL'!F97=prms!$AA$7,prms!$AD$7, IF('2 FILL'!F97=prms!$AA$8,prms!$AD$8,IF('2 FILL'!F97=prms!$AA$9,prms!$AD$9,1)))))</f>
        <v>0.2 - 0.1</v>
      </c>
    </row>
    <row r="100" spans="2:9" ht="14.5" customHeight="1" x14ac:dyDescent="0.35">
      <c r="B100" s="131" t="s">
        <v>151</v>
      </c>
      <c r="C100" s="131"/>
      <c r="D100" s="15" t="s">
        <v>163</v>
      </c>
      <c r="E100" s="4" t="s">
        <v>152</v>
      </c>
      <c r="F100" s="28">
        <v>10</v>
      </c>
    </row>
    <row r="101" spans="2:9" ht="14.5" customHeight="1" x14ac:dyDescent="0.35">
      <c r="B101" s="131" t="s">
        <v>159</v>
      </c>
      <c r="C101" s="131"/>
      <c r="D101" s="15" t="s">
        <v>165</v>
      </c>
      <c r="E101" s="4" t="s">
        <v>70</v>
      </c>
      <c r="F101" s="27">
        <v>1.7</v>
      </c>
    </row>
    <row r="102" spans="2:9" ht="14.5" customHeight="1" x14ac:dyDescent="0.35">
      <c r="B102" s="131" t="s">
        <v>96</v>
      </c>
      <c r="C102" s="131"/>
      <c r="D102" s="15" t="s">
        <v>308</v>
      </c>
      <c r="E102" s="4" t="s">
        <v>88</v>
      </c>
      <c r="F102" s="16">
        <f>F101*F100*F99/F98</f>
        <v>0.33999999999999997</v>
      </c>
    </row>
    <row r="103" spans="2:9" ht="14.5" customHeight="1" x14ac:dyDescent="0.35">
      <c r="D103" s="15"/>
      <c r="F103" s="16"/>
    </row>
    <row r="104" spans="2:9" ht="14.5" customHeight="1" x14ac:dyDescent="0.35">
      <c r="B104" s="131" t="s">
        <v>166</v>
      </c>
      <c r="C104" s="131"/>
      <c r="D104" s="35"/>
      <c r="E104" s="79" t="s">
        <v>70</v>
      </c>
      <c r="F104" s="3">
        <v>1</v>
      </c>
      <c r="G104" s="132" t="s">
        <v>101</v>
      </c>
      <c r="H104" s="132"/>
    </row>
    <row r="105" spans="2:9" ht="14.5" customHeight="1" x14ac:dyDescent="0.35">
      <c r="B105" s="131" t="s">
        <v>167</v>
      </c>
      <c r="C105" s="131"/>
      <c r="D105" s="35"/>
      <c r="E105" s="67" t="s">
        <v>559</v>
      </c>
      <c r="F105" s="18" t="s">
        <v>136</v>
      </c>
    </row>
    <row r="106" spans="2:9" ht="14.5" customHeight="1" x14ac:dyDescent="0.35">
      <c r="B106" s="131" t="s">
        <v>160</v>
      </c>
      <c r="C106" s="131"/>
      <c r="D106" s="15" t="s">
        <v>168</v>
      </c>
      <c r="E106" s="4" t="s">
        <v>99</v>
      </c>
      <c r="F106" s="27">
        <v>12.5</v>
      </c>
      <c r="G106" s="132" t="s">
        <v>84</v>
      </c>
      <c r="H106" s="132"/>
      <c r="I106" s="13" t="str">
        <f>IF(F105=prms!AA5,prms!AC5, IF('2 FILL'!F105=prms!AA6,prms!AC6, IF('2 FILL'!F105=prms!AA7,prms!AC7, IF('2 FILL'!F105=prms!AA8,prms!AC8,IF('2 FILL'!F105=prms!AA9,prms!AC9,1)))))</f>
        <v>10 - 15</v>
      </c>
    </row>
    <row r="107" spans="2:9" ht="14.5" customHeight="1" x14ac:dyDescent="0.35">
      <c r="B107" s="131" t="s">
        <v>143</v>
      </c>
      <c r="C107" s="131"/>
      <c r="D107" s="15" t="s">
        <v>169</v>
      </c>
      <c r="E107" s="15" t="s">
        <v>144</v>
      </c>
      <c r="F107" s="25">
        <v>0.25</v>
      </c>
      <c r="G107" s="132" t="s">
        <v>84</v>
      </c>
      <c r="H107" s="132"/>
      <c r="I107" s="13" t="str">
        <f>IF(F105=prms!AA5,prms!AD5, IF('2 FILL'!F105=prms!AA6,prms!AD6, IF('2 FILL'!F105=prms!AA7,prms!AD7, IF('2 FILL'!F105=prms!AA8,prms!AD8,IF('2 FILL'!F105=prms!AA9,prms!AD9,1)))))</f>
        <v>0.3 - 0.2</v>
      </c>
    </row>
    <row r="108" spans="2:9" ht="14.5" customHeight="1" x14ac:dyDescent="0.35">
      <c r="B108" s="131" t="s">
        <v>151</v>
      </c>
      <c r="C108" s="131"/>
      <c r="D108" s="15" t="s">
        <v>170</v>
      </c>
      <c r="E108" s="4" t="s">
        <v>152</v>
      </c>
      <c r="F108" s="28">
        <v>10</v>
      </c>
    </row>
    <row r="109" spans="2:9" ht="14.5" customHeight="1" x14ac:dyDescent="0.35">
      <c r="B109" s="131" t="s">
        <v>159</v>
      </c>
      <c r="C109" s="131"/>
      <c r="D109" s="15" t="s">
        <v>171</v>
      </c>
      <c r="E109" s="4" t="s">
        <v>70</v>
      </c>
      <c r="F109" s="27">
        <v>1.7</v>
      </c>
    </row>
    <row r="110" spans="2:9" ht="14.5" customHeight="1" x14ac:dyDescent="0.35">
      <c r="B110" s="131" t="s">
        <v>96</v>
      </c>
      <c r="C110" s="131"/>
      <c r="D110" s="15" t="s">
        <v>309</v>
      </c>
      <c r="E110" s="4" t="s">
        <v>88</v>
      </c>
      <c r="F110" s="16">
        <f>F109*F108*F107/F106</f>
        <v>0.34</v>
      </c>
    </row>
    <row r="111" spans="2:9" ht="14.5" customHeight="1" x14ac:dyDescent="0.35">
      <c r="D111" s="15"/>
      <c r="F111" s="16"/>
    </row>
    <row r="112" spans="2:9" ht="14.5" customHeight="1" x14ac:dyDescent="0.35">
      <c r="B112" s="131" t="s">
        <v>172</v>
      </c>
      <c r="C112" s="131"/>
      <c r="D112" s="35"/>
      <c r="E112" s="79" t="s">
        <v>70</v>
      </c>
      <c r="F112" s="3">
        <v>1</v>
      </c>
      <c r="G112" s="132" t="s">
        <v>101</v>
      </c>
      <c r="H112" s="132"/>
    </row>
    <row r="113" spans="2:9" ht="14.5" customHeight="1" x14ac:dyDescent="0.35">
      <c r="B113" s="131" t="s">
        <v>150</v>
      </c>
      <c r="C113" s="131"/>
      <c r="D113" s="35"/>
      <c r="E113" s="67" t="s">
        <v>559</v>
      </c>
      <c r="F113" s="18" t="s">
        <v>137</v>
      </c>
    </row>
    <row r="114" spans="2:9" ht="14.5" customHeight="1" x14ac:dyDescent="0.35">
      <c r="B114" s="131" t="s">
        <v>160</v>
      </c>
      <c r="C114" s="131"/>
      <c r="D114" s="15" t="s">
        <v>173</v>
      </c>
      <c r="E114" s="4" t="s">
        <v>99</v>
      </c>
      <c r="F114" s="27">
        <v>17.5</v>
      </c>
      <c r="G114" s="132" t="s">
        <v>84</v>
      </c>
      <c r="H114" s="132"/>
      <c r="I114" s="13" t="str">
        <f>IF(F113=prms!AA5,prms!AC5, IF('2 FILL'!F113=prms!AA6,prms!AC6, IF('2 FILL'!F113=prms!AA7,prms!AC7, IF('2 FILL'!F113=prms!AA8,prms!AC8,IF('2 FILL'!F113=prms!AA9,prms!AC9,1)))))</f>
        <v>15 - 20</v>
      </c>
    </row>
    <row r="115" spans="2:9" ht="14.5" customHeight="1" x14ac:dyDescent="0.35">
      <c r="B115" s="131" t="s">
        <v>143</v>
      </c>
      <c r="C115" s="131"/>
      <c r="D115" s="15" t="s">
        <v>162</v>
      </c>
      <c r="E115" s="15" t="s">
        <v>144</v>
      </c>
      <c r="F115" s="25">
        <v>0.35</v>
      </c>
      <c r="G115" s="132" t="s">
        <v>84</v>
      </c>
      <c r="H115" s="132"/>
      <c r="I115" s="13" t="str">
        <f>IF(F113=prms!AA5,prms!AD5, IF('2 FILL'!F113=prms!AA6,prms!AD6, IF('2 FILL'!F113=prms!AA7,prms!AD7, IF('2 FILL'!F113=prms!AA8,prms!AD8,IF('2 FILL'!F113=prms!AA9,prms!AD9,1)))))</f>
        <v>0.4 - 0.3</v>
      </c>
    </row>
    <row r="116" spans="2:9" ht="14.5" customHeight="1" x14ac:dyDescent="0.35">
      <c r="B116" s="131" t="s">
        <v>151</v>
      </c>
      <c r="C116" s="131"/>
      <c r="D116" s="15" t="s">
        <v>174</v>
      </c>
      <c r="E116" s="4" t="s">
        <v>152</v>
      </c>
      <c r="F116" s="28">
        <v>10</v>
      </c>
    </row>
    <row r="117" spans="2:9" ht="14.5" customHeight="1" x14ac:dyDescent="0.35">
      <c r="B117" s="131" t="s">
        <v>159</v>
      </c>
      <c r="C117" s="131"/>
      <c r="D117" s="15" t="s">
        <v>175</v>
      </c>
      <c r="E117" s="4" t="s">
        <v>70</v>
      </c>
      <c r="F117" s="27">
        <v>1.7</v>
      </c>
    </row>
    <row r="118" spans="2:9" ht="14.5" customHeight="1" x14ac:dyDescent="0.35">
      <c r="B118" s="131" t="s">
        <v>96</v>
      </c>
      <c r="C118" s="131"/>
      <c r="D118" s="15" t="s">
        <v>310</v>
      </c>
      <c r="E118" s="4" t="s">
        <v>88</v>
      </c>
      <c r="F118" s="16">
        <f>F117*F116*F115/F114</f>
        <v>0.33999999999999997</v>
      </c>
    </row>
    <row r="120" spans="2:9" ht="14.5" customHeight="1" x14ac:dyDescent="0.35">
      <c r="B120" s="125" t="s">
        <v>218</v>
      </c>
      <c r="C120" s="125"/>
      <c r="D120" s="125"/>
      <c r="E120" s="125"/>
      <c r="F120" s="125"/>
    </row>
    <row r="122" spans="2:9" ht="14.5" customHeight="1" x14ac:dyDescent="0.35">
      <c r="B122" s="131" t="s">
        <v>241</v>
      </c>
      <c r="C122" s="131"/>
      <c r="E122" s="66" t="s">
        <v>70</v>
      </c>
      <c r="F122" s="17">
        <f>F46*F48/($F$46*$F$48+$F$62*$F$64+$F$78*$F$80)</f>
        <v>0.16216216216216217</v>
      </c>
    </row>
    <row r="123" spans="2:9" ht="14.5" customHeight="1" x14ac:dyDescent="0.35">
      <c r="B123" s="131" t="s">
        <v>242</v>
      </c>
      <c r="C123" s="131"/>
      <c r="E123" s="66" t="s">
        <v>70</v>
      </c>
      <c r="F123" s="17">
        <f>F62*F64/($F$46*$F$48+$F$62*$F$64+$F$78*$F$80)</f>
        <v>0.24324324324324326</v>
      </c>
    </row>
    <row r="124" spans="2:9" ht="14.5" customHeight="1" x14ac:dyDescent="0.35">
      <c r="B124" s="131" t="s">
        <v>243</v>
      </c>
      <c r="C124" s="131"/>
      <c r="E124" s="66" t="s">
        <v>70</v>
      </c>
      <c r="F124" s="17">
        <f>F78*F80/($F$46*$F$48+$F$62*$F$64+$F$78*$F$80)</f>
        <v>0.59459459459459463</v>
      </c>
    </row>
    <row r="125" spans="2:9" ht="14.5" customHeight="1" x14ac:dyDescent="0.35">
      <c r="F125" s="17"/>
    </row>
    <row r="126" spans="2:9" ht="14.5" customHeight="1" x14ac:dyDescent="0.35">
      <c r="B126" s="131" t="s">
        <v>244</v>
      </c>
      <c r="C126" s="131"/>
      <c r="D126" s="15"/>
      <c r="E126" s="4" t="s">
        <v>99</v>
      </c>
      <c r="F126" s="24">
        <f>F122*$F$42</f>
        <v>4864.864864864865</v>
      </c>
    </row>
    <row r="127" spans="2:9" ht="14.5" customHeight="1" x14ac:dyDescent="0.35">
      <c r="B127" s="131" t="s">
        <v>245</v>
      </c>
      <c r="C127" s="131"/>
      <c r="D127" s="15"/>
      <c r="E127" s="4" t="s">
        <v>99</v>
      </c>
      <c r="F127" s="24">
        <f>F123*$F$42</f>
        <v>7297.2972972972975</v>
      </c>
    </row>
    <row r="128" spans="2:9" ht="14.5" customHeight="1" x14ac:dyDescent="0.35">
      <c r="B128" s="131" t="s">
        <v>246</v>
      </c>
      <c r="C128" s="131"/>
      <c r="D128" s="15"/>
      <c r="E128" s="4" t="s">
        <v>99</v>
      </c>
      <c r="F128" s="24">
        <f>F124*$F$42</f>
        <v>17837.83783783784</v>
      </c>
    </row>
    <row r="129" spans="2:6" ht="14.5" customHeight="1" x14ac:dyDescent="0.35">
      <c r="D129" s="15"/>
      <c r="F129" s="24"/>
    </row>
    <row r="130" spans="2:6" ht="14.5" customHeight="1" x14ac:dyDescent="0.35">
      <c r="B130" s="131" t="s">
        <v>247</v>
      </c>
      <c r="C130" s="131"/>
      <c r="D130" s="15" t="s">
        <v>250</v>
      </c>
      <c r="E130" s="4" t="s">
        <v>98</v>
      </c>
      <c r="F130" s="24">
        <f>F60*F126</f>
        <v>235.88526620973636</v>
      </c>
    </row>
    <row r="131" spans="2:6" ht="14.5" customHeight="1" x14ac:dyDescent="0.35">
      <c r="B131" s="131" t="s">
        <v>248</v>
      </c>
      <c r="C131" s="131"/>
      <c r="D131" s="15" t="s">
        <v>251</v>
      </c>
      <c r="E131" s="4" t="s">
        <v>98</v>
      </c>
      <c r="F131" s="24">
        <f>F76*F127</f>
        <v>530.74184897190685</v>
      </c>
    </row>
    <row r="132" spans="2:6" ht="14.5" customHeight="1" x14ac:dyDescent="0.35">
      <c r="B132" s="131" t="s">
        <v>249</v>
      </c>
      <c r="C132" s="131"/>
      <c r="D132" s="15" t="s">
        <v>252</v>
      </c>
      <c r="E132" s="4" t="s">
        <v>98</v>
      </c>
      <c r="F132" s="24">
        <f>F92*F128</f>
        <v>3171.3463568197885</v>
      </c>
    </row>
    <row r="133" spans="2:6" ht="14.5" customHeight="1" x14ac:dyDescent="0.35">
      <c r="D133" s="15"/>
      <c r="F133" s="24"/>
    </row>
    <row r="134" spans="2:6" ht="14.5" customHeight="1" x14ac:dyDescent="0.35">
      <c r="B134" s="131" t="s">
        <v>143</v>
      </c>
      <c r="C134" s="131"/>
      <c r="D134" s="15" t="s">
        <v>253</v>
      </c>
      <c r="E134" s="4" t="s">
        <v>98</v>
      </c>
      <c r="F134" s="24">
        <f>SUM(F130:F132)</f>
        <v>3937.9734720014317</v>
      </c>
    </row>
    <row r="135" spans="2:6" ht="14.5" customHeight="1" x14ac:dyDescent="0.35">
      <c r="B135" s="131" t="s">
        <v>132</v>
      </c>
      <c r="C135" s="131"/>
      <c r="D135" s="15" t="s">
        <v>133</v>
      </c>
      <c r="E135" s="4" t="s">
        <v>134</v>
      </c>
      <c r="F135" s="25">
        <v>2.6</v>
      </c>
    </row>
    <row r="136" spans="2:6" ht="14.5" customHeight="1" x14ac:dyDescent="0.35">
      <c r="B136" s="131" t="s">
        <v>565</v>
      </c>
      <c r="C136" s="131"/>
      <c r="D136" s="15" t="s">
        <v>130</v>
      </c>
      <c r="E136" s="4" t="s">
        <v>131</v>
      </c>
      <c r="F136" s="24">
        <f>F134*F135</f>
        <v>10238.731027203723</v>
      </c>
    </row>
    <row r="137" spans="2:6" s="66" customFormat="1" ht="14.5" customHeight="1" x14ac:dyDescent="0.35">
      <c r="D137" s="68"/>
      <c r="E137" s="66" t="s">
        <v>558</v>
      </c>
      <c r="F137" s="74">
        <f>F136/1000</f>
        <v>10.238731027203723</v>
      </c>
    </row>
    <row r="138" spans="2:6" ht="14.5" customHeight="1" x14ac:dyDescent="0.35">
      <c r="D138" s="15"/>
    </row>
    <row r="139" spans="2:6" s="66" customFormat="1" ht="14.5" customHeight="1" x14ac:dyDescent="0.35">
      <c r="B139" s="125" t="s">
        <v>240</v>
      </c>
      <c r="C139" s="125"/>
      <c r="D139" s="125"/>
      <c r="E139" s="125"/>
      <c r="F139" s="125"/>
    </row>
    <row r="140" spans="2:6" s="66" customFormat="1" ht="14.5" customHeight="1" x14ac:dyDescent="0.35">
      <c r="D140" s="68"/>
    </row>
    <row r="141" spans="2:6" ht="14.5" customHeight="1" x14ac:dyDescent="0.35">
      <c r="B141" s="131" t="s">
        <v>412</v>
      </c>
      <c r="C141" s="131"/>
      <c r="D141" s="15"/>
      <c r="E141" s="66" t="s">
        <v>70</v>
      </c>
      <c r="F141" s="17">
        <f>F96*F98/($F$96*$F$98+$F$104*$F$106+$F$112*$F$114)</f>
        <v>0.2</v>
      </c>
    </row>
    <row r="142" spans="2:6" ht="14.5" customHeight="1" x14ac:dyDescent="0.35">
      <c r="B142" s="131" t="s">
        <v>413</v>
      </c>
      <c r="C142" s="131"/>
      <c r="D142" s="15"/>
      <c r="E142" s="66" t="s">
        <v>70</v>
      </c>
      <c r="F142" s="17">
        <f>F104*F106/($F$96*$F$98+$F$104*$F$106+$F$112*$F$114)</f>
        <v>0.33333333333333331</v>
      </c>
    </row>
    <row r="143" spans="2:6" ht="14.5" customHeight="1" x14ac:dyDescent="0.35">
      <c r="B143" s="131" t="s">
        <v>414</v>
      </c>
      <c r="C143" s="131"/>
      <c r="D143" s="15"/>
      <c r="E143" s="66" t="s">
        <v>70</v>
      </c>
      <c r="F143" s="17">
        <f>F112*F114/($F$96*$F$98+$F$104*$F$106+$F$112*$F$114)</f>
        <v>0.46666666666666667</v>
      </c>
    </row>
    <row r="144" spans="2:6" ht="14.5" customHeight="1" x14ac:dyDescent="0.35">
      <c r="D144" s="15"/>
    </row>
    <row r="145" spans="2:6" ht="14.5" customHeight="1" x14ac:dyDescent="0.35">
      <c r="B145" s="131" t="s">
        <v>176</v>
      </c>
      <c r="C145" s="131"/>
      <c r="D145" s="15"/>
      <c r="E145" s="4" t="s">
        <v>99</v>
      </c>
      <c r="F145" s="24">
        <f>F141*$F$42</f>
        <v>6000</v>
      </c>
    </row>
    <row r="146" spans="2:6" ht="14.5" customHeight="1" x14ac:dyDescent="0.35">
      <c r="B146" s="131" t="s">
        <v>177</v>
      </c>
      <c r="C146" s="131"/>
      <c r="D146" s="15"/>
      <c r="E146" s="4" t="s">
        <v>99</v>
      </c>
      <c r="F146" s="24">
        <f>F142*$F$42</f>
        <v>10000</v>
      </c>
    </row>
    <row r="147" spans="2:6" ht="14.5" customHeight="1" x14ac:dyDescent="0.35">
      <c r="B147" s="131" t="s">
        <v>178</v>
      </c>
      <c r="C147" s="131"/>
      <c r="D147" s="15"/>
      <c r="E147" s="4" t="s">
        <v>99</v>
      </c>
      <c r="F147" s="24">
        <f>F143*$F$42</f>
        <v>14000</v>
      </c>
    </row>
    <row r="148" spans="2:6" ht="14.5" customHeight="1" x14ac:dyDescent="0.35">
      <c r="D148" s="15"/>
    </row>
    <row r="149" spans="2:6" ht="14.5" customHeight="1" x14ac:dyDescent="0.35">
      <c r="B149" s="131" t="s">
        <v>179</v>
      </c>
      <c r="C149" s="131"/>
      <c r="D149" s="15" t="s">
        <v>182</v>
      </c>
      <c r="E149" s="4" t="s">
        <v>98</v>
      </c>
      <c r="F149" s="24">
        <f>F102*F145</f>
        <v>2039.9999999999998</v>
      </c>
    </row>
    <row r="150" spans="2:6" ht="14.5" customHeight="1" x14ac:dyDescent="0.35">
      <c r="B150" s="131" t="s">
        <v>180</v>
      </c>
      <c r="C150" s="131"/>
      <c r="D150" s="15" t="s">
        <v>183</v>
      </c>
      <c r="E150" s="4" t="s">
        <v>98</v>
      </c>
      <c r="F150" s="24">
        <f>F110*F146</f>
        <v>3400.0000000000005</v>
      </c>
    </row>
    <row r="151" spans="2:6" ht="14.5" customHeight="1" x14ac:dyDescent="0.35">
      <c r="B151" s="131" t="s">
        <v>181</v>
      </c>
      <c r="C151" s="131"/>
      <c r="D151" s="15" t="s">
        <v>184</v>
      </c>
      <c r="E151" s="4" t="s">
        <v>98</v>
      </c>
      <c r="F151" s="24">
        <f>F118*F147</f>
        <v>4760</v>
      </c>
    </row>
    <row r="152" spans="2:6" ht="14.5" customHeight="1" x14ac:dyDescent="0.35">
      <c r="D152" s="15"/>
    </row>
    <row r="153" spans="2:6" ht="14.5" customHeight="1" x14ac:dyDescent="0.35">
      <c r="B153" s="131" t="s">
        <v>143</v>
      </c>
      <c r="C153" s="131"/>
      <c r="D153" s="15" t="s">
        <v>254</v>
      </c>
      <c r="E153" s="4" t="s">
        <v>98</v>
      </c>
      <c r="F153" s="24">
        <f>SUM(F149:F151)</f>
        <v>10200</v>
      </c>
    </row>
    <row r="154" spans="2:6" ht="14.5" customHeight="1" x14ac:dyDescent="0.35">
      <c r="B154" s="131" t="s">
        <v>132</v>
      </c>
      <c r="C154" s="131"/>
      <c r="D154" s="15" t="s">
        <v>133</v>
      </c>
      <c r="E154" s="4" t="s">
        <v>134</v>
      </c>
      <c r="F154" s="25">
        <v>2.6</v>
      </c>
    </row>
    <row r="155" spans="2:6" ht="14.5" customHeight="1" x14ac:dyDescent="0.35">
      <c r="B155" s="131" t="s">
        <v>565</v>
      </c>
      <c r="C155" s="131"/>
      <c r="D155" s="15" t="s">
        <v>130</v>
      </c>
      <c r="E155" s="4" t="s">
        <v>131</v>
      </c>
      <c r="F155" s="24">
        <f>F153*F154</f>
        <v>26520</v>
      </c>
    </row>
    <row r="156" spans="2:6" ht="14.5" customHeight="1" x14ac:dyDescent="0.35">
      <c r="D156" s="15"/>
      <c r="E156" s="66" t="s">
        <v>558</v>
      </c>
      <c r="F156" s="74">
        <f>F155/1000</f>
        <v>26.52</v>
      </c>
    </row>
    <row r="157" spans="2:6" ht="14.5" customHeight="1" x14ac:dyDescent="0.35">
      <c r="D157" s="15"/>
    </row>
    <row r="158" spans="2:6" ht="14.5" customHeight="1" x14ac:dyDescent="0.35">
      <c r="B158" s="125" t="s">
        <v>557</v>
      </c>
      <c r="C158" s="125"/>
      <c r="D158" s="125"/>
      <c r="E158" s="125"/>
      <c r="F158" s="125"/>
    </row>
    <row r="159" spans="2:6" ht="14.5" customHeight="1" x14ac:dyDescent="0.35">
      <c r="B159" s="66"/>
      <c r="C159" s="66"/>
      <c r="D159" s="66"/>
      <c r="E159" s="66"/>
      <c r="F159" s="66"/>
    </row>
    <row r="160" spans="2:6" ht="14.5" customHeight="1" x14ac:dyDescent="0.35">
      <c r="B160" s="131" t="s">
        <v>129</v>
      </c>
      <c r="C160" s="131"/>
      <c r="D160" s="68" t="s">
        <v>130</v>
      </c>
      <c r="E160" s="66" t="s">
        <v>131</v>
      </c>
      <c r="F160" s="24">
        <f>IF(F8=1,F136+F155,0)</f>
        <v>36758.731027203721</v>
      </c>
    </row>
    <row r="161" spans="2:6" ht="14.5" customHeight="1" x14ac:dyDescent="0.35">
      <c r="B161" s="66"/>
      <c r="C161" s="66"/>
      <c r="D161" s="66"/>
      <c r="E161" s="66" t="s">
        <v>558</v>
      </c>
      <c r="F161" s="75">
        <f>F160/1000</f>
        <v>36.758731027203723</v>
      </c>
    </row>
    <row r="162" spans="2:6" ht="14.5" customHeight="1" x14ac:dyDescent="0.35">
      <c r="D162" s="15"/>
    </row>
    <row r="163" spans="2:6" ht="14.5" customHeight="1" x14ac:dyDescent="0.35">
      <c r="D163" s="15"/>
    </row>
    <row r="164" spans="2:6" ht="14.5" customHeight="1" x14ac:dyDescent="0.35">
      <c r="D164" s="15"/>
    </row>
    <row r="165" spans="2:6" ht="14.5" customHeight="1" x14ac:dyDescent="0.35">
      <c r="D165" s="15"/>
    </row>
  </sheetData>
  <mergeCells count="155">
    <mergeCell ref="G8:H8"/>
    <mergeCell ref="B2:F2"/>
    <mergeCell ref="B4:C4"/>
    <mergeCell ref="B10:F10"/>
    <mergeCell ref="B12:C12"/>
    <mergeCell ref="B13:C13"/>
    <mergeCell ref="B14:C14"/>
    <mergeCell ref="B22:C22"/>
    <mergeCell ref="B24:C24"/>
    <mergeCell ref="B25:C25"/>
    <mergeCell ref="B6:F6"/>
    <mergeCell ref="B8:C8"/>
    <mergeCell ref="B26:C26"/>
    <mergeCell ref="B27:C27"/>
    <mergeCell ref="B28:C28"/>
    <mergeCell ref="B15:C15"/>
    <mergeCell ref="B16:C16"/>
    <mergeCell ref="B18:C18"/>
    <mergeCell ref="B19:C19"/>
    <mergeCell ref="B20:C20"/>
    <mergeCell ref="B21:C21"/>
    <mergeCell ref="B37:C37"/>
    <mergeCell ref="B38:C38"/>
    <mergeCell ref="B39:C39"/>
    <mergeCell ref="B40:C40"/>
    <mergeCell ref="B42:C42"/>
    <mergeCell ref="B44:F44"/>
    <mergeCell ref="B30:C30"/>
    <mergeCell ref="B31:C31"/>
    <mergeCell ref="B32:C32"/>
    <mergeCell ref="B33:C33"/>
    <mergeCell ref="B34:C34"/>
    <mergeCell ref="B36:C36"/>
    <mergeCell ref="G53:H53"/>
    <mergeCell ref="B54:C54"/>
    <mergeCell ref="B55:C55"/>
    <mergeCell ref="G51:H51"/>
    <mergeCell ref="B46:C46"/>
    <mergeCell ref="G46:H46"/>
    <mergeCell ref="B47:C47"/>
    <mergeCell ref="B48:C48"/>
    <mergeCell ref="G48:H48"/>
    <mergeCell ref="B50:C50"/>
    <mergeCell ref="G50:I50"/>
    <mergeCell ref="B49:C49"/>
    <mergeCell ref="G49:H49"/>
    <mergeCell ref="B56:C56"/>
    <mergeCell ref="B57:C57"/>
    <mergeCell ref="B58:C58"/>
    <mergeCell ref="B59:C59"/>
    <mergeCell ref="B60:C60"/>
    <mergeCell ref="B62:C62"/>
    <mergeCell ref="B51:C51"/>
    <mergeCell ref="B52:C52"/>
    <mergeCell ref="B53:C53"/>
    <mergeCell ref="G69:H69"/>
    <mergeCell ref="B69:C69"/>
    <mergeCell ref="B70:C70"/>
    <mergeCell ref="G67:H67"/>
    <mergeCell ref="G62:H62"/>
    <mergeCell ref="B63:C63"/>
    <mergeCell ref="B64:C64"/>
    <mergeCell ref="G64:H64"/>
    <mergeCell ref="B65:C65"/>
    <mergeCell ref="G66:I66"/>
    <mergeCell ref="G65:H65"/>
    <mergeCell ref="B71:C71"/>
    <mergeCell ref="B72:C72"/>
    <mergeCell ref="B73:C73"/>
    <mergeCell ref="B74:C74"/>
    <mergeCell ref="B75:C75"/>
    <mergeCell ref="B78:C78"/>
    <mergeCell ref="B76:C76"/>
    <mergeCell ref="B66:C66"/>
    <mergeCell ref="B67:C67"/>
    <mergeCell ref="B68:C68"/>
    <mergeCell ref="B82:C82"/>
    <mergeCell ref="B83:C83"/>
    <mergeCell ref="B84:C84"/>
    <mergeCell ref="G85:H85"/>
    <mergeCell ref="B85:C85"/>
    <mergeCell ref="B86:C86"/>
    <mergeCell ref="G83:H83"/>
    <mergeCell ref="G78:H78"/>
    <mergeCell ref="B79:C79"/>
    <mergeCell ref="B80:C80"/>
    <mergeCell ref="G80:H80"/>
    <mergeCell ref="B81:C81"/>
    <mergeCell ref="G82:I82"/>
    <mergeCell ref="G81:H81"/>
    <mergeCell ref="B96:C96"/>
    <mergeCell ref="G96:H96"/>
    <mergeCell ref="B97:C97"/>
    <mergeCell ref="B98:C98"/>
    <mergeCell ref="G98:H98"/>
    <mergeCell ref="B99:C99"/>
    <mergeCell ref="G99:H99"/>
    <mergeCell ref="B87:C87"/>
    <mergeCell ref="B88:C88"/>
    <mergeCell ref="B89:C89"/>
    <mergeCell ref="B90:C90"/>
    <mergeCell ref="B91:C91"/>
    <mergeCell ref="B94:F94"/>
    <mergeCell ref="B92:C92"/>
    <mergeCell ref="B106:C106"/>
    <mergeCell ref="G106:H106"/>
    <mergeCell ref="B107:C107"/>
    <mergeCell ref="G107:H107"/>
    <mergeCell ref="B108:C108"/>
    <mergeCell ref="B109:C109"/>
    <mergeCell ref="B100:C100"/>
    <mergeCell ref="B101:C101"/>
    <mergeCell ref="B102:C102"/>
    <mergeCell ref="B104:C104"/>
    <mergeCell ref="G104:H104"/>
    <mergeCell ref="B105:C105"/>
    <mergeCell ref="B115:C115"/>
    <mergeCell ref="G115:H115"/>
    <mergeCell ref="B116:C116"/>
    <mergeCell ref="B117:C117"/>
    <mergeCell ref="B118:C118"/>
    <mergeCell ref="B120:F120"/>
    <mergeCell ref="B110:C110"/>
    <mergeCell ref="B112:C112"/>
    <mergeCell ref="G112:H112"/>
    <mergeCell ref="B113:C113"/>
    <mergeCell ref="B114:C114"/>
    <mergeCell ref="G114:H114"/>
    <mergeCell ref="B130:C130"/>
    <mergeCell ref="B131:C131"/>
    <mergeCell ref="B132:C132"/>
    <mergeCell ref="B134:C134"/>
    <mergeCell ref="B135:C135"/>
    <mergeCell ref="B136:C136"/>
    <mergeCell ref="B122:C122"/>
    <mergeCell ref="B123:C123"/>
    <mergeCell ref="B124:C124"/>
    <mergeCell ref="B126:C126"/>
    <mergeCell ref="B127:C127"/>
    <mergeCell ref="B128:C128"/>
    <mergeCell ref="B139:F139"/>
    <mergeCell ref="B158:F158"/>
    <mergeCell ref="B160:C160"/>
    <mergeCell ref="B149:C149"/>
    <mergeCell ref="B150:C150"/>
    <mergeCell ref="B151:C151"/>
    <mergeCell ref="B153:C153"/>
    <mergeCell ref="B154:C154"/>
    <mergeCell ref="B155:C155"/>
    <mergeCell ref="B141:C141"/>
    <mergeCell ref="B142:C142"/>
    <mergeCell ref="B143:C143"/>
    <mergeCell ref="B145:C145"/>
    <mergeCell ref="B146:C146"/>
    <mergeCell ref="B147:C147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65414EC-E7D1-4226-9F74-CEA1E40F4E1E}">
          <x14:formula1>
            <xm:f>prms!$AA$5:$AA$9</xm:f>
          </x14:formula1>
          <xm:sqref>F97 F105 F113</xm:sqref>
        </x14:dataValidation>
        <x14:dataValidation type="list" allowBlank="1" showInputMessage="1" showErrorMessage="1" xr:uid="{70A30B88-2A5C-4576-A0FD-6E3ED5BCFA7E}">
          <x14:formula1>
            <xm:f>prms!$B$5:$B$29</xm:f>
          </x14:formula1>
          <xm:sqref>F38 F14 F20 F26 F32</xm:sqref>
        </x14:dataValidation>
        <x14:dataValidation type="list" allowBlank="1" showInputMessage="1" showErrorMessage="1" xr:uid="{C84C97FD-99ED-4E04-B8DD-6CEE67A49648}">
          <x14:formula1>
            <xm:f>prms!$I$5:$I$9</xm:f>
          </x14:formula1>
          <xm:sqref>F47 F63 F79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2E63-D8EA-4CB6-A0FE-4B18B64D5598}">
  <dimension ref="B2:I74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4"/>
    <col min="2" max="3" width="15.6328125" style="4" customWidth="1"/>
    <col min="4" max="4" width="12.6328125" style="4" customWidth="1"/>
    <col min="5" max="5" width="12.6328125" style="4"/>
    <col min="6" max="6" width="20.6328125" style="4" customWidth="1"/>
    <col min="7" max="9" width="12.6328125" style="4" customWidth="1"/>
    <col min="10" max="16384" width="12.6328125" style="4"/>
  </cols>
  <sheetData>
    <row r="2" spans="2:6" ht="14.5" customHeight="1" x14ac:dyDescent="0.35">
      <c r="B2" s="133" t="s">
        <v>30</v>
      </c>
      <c r="C2" s="133"/>
      <c r="D2" s="133"/>
      <c r="E2" s="133"/>
      <c r="F2" s="133"/>
    </row>
    <row r="3" spans="2:6" ht="14.5" customHeight="1" x14ac:dyDescent="0.35">
      <c r="B3" s="8"/>
      <c r="C3" s="8"/>
      <c r="D3" s="8"/>
      <c r="E3" s="8"/>
      <c r="F3" s="8"/>
    </row>
    <row r="4" spans="2:6" ht="14.5" customHeight="1" x14ac:dyDescent="0.35">
      <c r="B4" s="131" t="s">
        <v>1</v>
      </c>
      <c r="C4" s="131"/>
      <c r="D4" s="12"/>
      <c r="E4" s="4" t="s">
        <v>0</v>
      </c>
      <c r="F4" s="4">
        <v>1000</v>
      </c>
    </row>
    <row r="6" spans="2:6" ht="14.5" customHeight="1" x14ac:dyDescent="0.35">
      <c r="B6" s="133" t="s">
        <v>529</v>
      </c>
      <c r="C6" s="133"/>
      <c r="D6" s="133"/>
      <c r="E6" s="133"/>
      <c r="F6" s="133"/>
    </row>
    <row r="7" spans="2:6" ht="14.5" customHeight="1" x14ac:dyDescent="0.35">
      <c r="B7" s="8"/>
      <c r="C7" s="8"/>
      <c r="D7" s="8"/>
      <c r="E7" s="8"/>
      <c r="F7" s="8"/>
    </row>
    <row r="8" spans="2:6" ht="14.5" customHeight="1" x14ac:dyDescent="0.35">
      <c r="B8" s="131" t="s">
        <v>281</v>
      </c>
      <c r="C8" s="131"/>
      <c r="D8" s="12"/>
      <c r="E8" s="4" t="s">
        <v>0</v>
      </c>
      <c r="F8" s="3">
        <v>20</v>
      </c>
    </row>
    <row r="9" spans="2:6" ht="14.5" customHeight="1" x14ac:dyDescent="0.35">
      <c r="B9" s="131" t="s">
        <v>284</v>
      </c>
      <c r="C9" s="131"/>
      <c r="D9" s="12"/>
      <c r="E9" s="4" t="s">
        <v>0</v>
      </c>
      <c r="F9" s="3">
        <v>0.3</v>
      </c>
    </row>
    <row r="10" spans="2:6" ht="14.5" customHeight="1" x14ac:dyDescent="0.35">
      <c r="B10" s="135" t="s">
        <v>282</v>
      </c>
      <c r="C10" s="135"/>
      <c r="D10" s="7"/>
      <c r="E10" s="67" t="s">
        <v>559</v>
      </c>
      <c r="F10" s="3" t="s">
        <v>27</v>
      </c>
    </row>
    <row r="11" spans="2:6" ht="14.5" customHeight="1" x14ac:dyDescent="0.35">
      <c r="B11" s="134" t="s">
        <v>3</v>
      </c>
      <c r="C11" s="134"/>
      <c r="D11" s="34" t="s">
        <v>380</v>
      </c>
      <c r="E11" s="15" t="s">
        <v>29</v>
      </c>
      <c r="F11" s="19">
        <f xml:space="preserve">
IF(
F10=prms!$B$5,prms!$C$5,
IF(F10=prms!$B$6,prms!$C$6,
IF(F10=prms!$B$7,prms!$C$7,
IF(F10=prms!$B$8,prms!$C$8,
IF(F10=prms!$B$9,prms!$C$9,
IF(F10=prms!$B$10,prms!$C$10,
IF(F10=prms!$B$11,prms!$C$11,
IF(F10=prms!$B$12,prms!$C$12,
IF(F10=prms!$B$13,prms!$C$13,
IF(F10=prms!$B$14,prms!$C$14,
IF(F10=prms!$B$15,prms!$C$15,
IF(F10=prms!$B$16,prms!$C$16,
IF(F10=prms!$B$17,prms!$C$17,
IF(F10=prms!$B$18,prms!$C$18,
IF(F10=prms!$B$19,prms!$C$19,
IF(F10=prms!$B$20,prms!$C$20,
IF(F10=prms!$B$21,prms!$C$21,
IF(F10=prms!$B$22,prms!$C$22,
IF(F10=prms!$B$23,prms!$C$23,
IF(F10=prms!$B$24,prms!$C$24,
IF(F10=prms!$B$25,prms!$C$25,
IF(F10=prms!$B$26,prms!$C$26,
IF(F10=prms!$B$27,prms!$C$27,
IF(F10=prms!$B$28,prms!$C$28,
IF(F10=prms!$B$29,prms!$C$29,
)))))))))))))))))))))))))</f>
        <v>1840</v>
      </c>
    </row>
    <row r="12" spans="2:6" ht="14.5" customHeight="1" x14ac:dyDescent="0.35">
      <c r="B12" s="134" t="s">
        <v>4</v>
      </c>
      <c r="C12" s="134"/>
      <c r="D12" s="34" t="s">
        <v>381</v>
      </c>
      <c r="E12" s="15" t="s">
        <v>29</v>
      </c>
      <c r="F12" s="19">
        <f xml:space="preserve">
IF(
F10=prms!$B$5,prms!$D$5,
IF(F10=prms!$B$6,prms!$D$6,
IF(F10=prms!$B$7,prms!$D$7,
IF(F10=prms!$B$8,prms!$D$8,
IF(F10=prms!$B$9,prms!$D$9,
IF(F10=prms!$B$10,prms!$D$10,
IF(F10=prms!$B$11,prms!$D$11,
IF(F10=prms!$B$12,prms!$D$12,
IF(F10=prms!$B$13,prms!$D$13,
IF(F10=prms!$B$14,prms!$D$14,
IF(F10=prms!$B$15,prms!$D$15,
IF(F10=prms!$B$16,prms!$D$16,
IF(F10=prms!$B$17,prms!$D$17,
IF(F10=prms!$B$18,prms!$D$18,
IF(F10=prms!$B$19,prms!$D$19,
IF(F10=prms!$B$20,prms!$D$20,
IF(F10=prms!$B$21,prms!$D$21,
IF(F10=prms!$B$22,prms!$D$22,
IF(F10=prms!$B$23,prms!$D$23,
IF(F10=prms!$B$24,prms!$D$24,
IF(F10=prms!$B$25,prms!$D$25,
IF(F10=prms!$B$26,prms!$D$26,
IF(F10=prms!$B$27,prms!$D$27,
IF(F10=prms!$B$28,prms!$D$28,
IF(F10=prms!$B$29,prms!$D$29)))))))))))))))))))))))))</f>
        <v>1480</v>
      </c>
    </row>
    <row r="13" spans="2:6" ht="14.5" customHeight="1" x14ac:dyDescent="0.35">
      <c r="B13" s="15"/>
      <c r="C13" s="11"/>
      <c r="D13" s="11"/>
      <c r="E13" s="15"/>
    </row>
    <row r="14" spans="2:6" ht="14.5" customHeight="1" x14ac:dyDescent="0.35">
      <c r="B14" s="133" t="s">
        <v>283</v>
      </c>
      <c r="C14" s="133"/>
      <c r="D14" s="133"/>
      <c r="E14" s="133"/>
      <c r="F14" s="133"/>
    </row>
    <row r="15" spans="2:6" ht="14.5" customHeight="1" x14ac:dyDescent="0.35">
      <c r="B15" s="8"/>
      <c r="C15" s="8"/>
      <c r="D15" s="8"/>
      <c r="E15" s="8"/>
      <c r="F15" s="8"/>
    </row>
    <row r="16" spans="2:6" ht="14.5" customHeight="1" x14ac:dyDescent="0.35">
      <c r="B16" s="131" t="s">
        <v>285</v>
      </c>
      <c r="C16" s="131"/>
      <c r="D16" s="8"/>
      <c r="E16" s="14" t="s">
        <v>559</v>
      </c>
      <c r="F16" s="33" t="s">
        <v>257</v>
      </c>
    </row>
    <row r="17" spans="2:9" ht="14.5" customHeight="1" x14ac:dyDescent="0.35">
      <c r="B17" s="131" t="s">
        <v>37</v>
      </c>
      <c r="C17" s="131"/>
      <c r="E17" s="4" t="s">
        <v>38</v>
      </c>
      <c r="F17" s="3">
        <v>75</v>
      </c>
      <c r="G17" s="132" t="s">
        <v>84</v>
      </c>
      <c r="H17" s="132"/>
      <c r="I17" s="32" t="str">
        <f>IF($F$16=prms!$Q$5,prms!$R$5,IF($F$16=prms!Q6,prms!$R$6,IF($F$16=prms!$Q$7,prms!$R$7,IF($F$16=prms!$Q$8,prms!$R$8,IF($F$16=prms!$Q$9,prms!R$9,IF($F$16=prms!$Q$10,prms!$R$10,1))))))</f>
        <v>30 - 119</v>
      </c>
    </row>
    <row r="18" spans="2:9" ht="14.5" customHeight="1" x14ac:dyDescent="0.35">
      <c r="B18" s="131" t="s">
        <v>256</v>
      </c>
      <c r="C18" s="131"/>
      <c r="E18" s="4" t="s">
        <v>0</v>
      </c>
      <c r="F18" s="25">
        <v>1.9</v>
      </c>
      <c r="G18" s="132" t="s">
        <v>84</v>
      </c>
      <c r="H18" s="132"/>
      <c r="I18" s="32" t="str">
        <f>IF($F$16=prms!$Q$5,prms!$S$5,IF($F$16=prms!$Q$6,prms!$S$6,IF($F$16=prms!$Q$7,prms!$S$7,IF($F$16=prms!$Q$8,prms!$S$8,IF($F$16=prms!$Q$9,prms!$S$9,IF($F$16=prms!$Q$10,prms!$S$10,1))))))</f>
        <v>1.20 - 2.20</v>
      </c>
    </row>
    <row r="19" spans="2:9" ht="14.5" customHeight="1" x14ac:dyDescent="0.35">
      <c r="B19" s="131" t="s">
        <v>45</v>
      </c>
      <c r="C19" s="131"/>
      <c r="D19" s="4" t="s">
        <v>330</v>
      </c>
      <c r="E19" s="4" t="s">
        <v>46</v>
      </c>
      <c r="F19" s="3">
        <v>0.25</v>
      </c>
      <c r="G19" s="132" t="s">
        <v>83</v>
      </c>
      <c r="H19" s="132"/>
      <c r="I19" s="132"/>
    </row>
    <row r="20" spans="2:9" ht="14.5" customHeight="1" x14ac:dyDescent="0.35">
      <c r="B20" s="131" t="s">
        <v>209</v>
      </c>
      <c r="C20" s="131"/>
      <c r="D20" s="4" t="s">
        <v>287</v>
      </c>
      <c r="E20" s="4" t="s">
        <v>286</v>
      </c>
      <c r="F20" s="3">
        <v>5</v>
      </c>
      <c r="G20" s="132" t="s">
        <v>84</v>
      </c>
      <c r="H20" s="132"/>
      <c r="I20" s="13" t="s">
        <v>211</v>
      </c>
    </row>
    <row r="21" spans="2:9" ht="14.5" customHeight="1" x14ac:dyDescent="0.35">
      <c r="B21" s="131" t="s">
        <v>79</v>
      </c>
      <c r="C21" s="131"/>
      <c r="D21" s="34" t="s">
        <v>288</v>
      </c>
      <c r="E21" s="4" t="s">
        <v>80</v>
      </c>
      <c r="F21" s="3">
        <v>0.85</v>
      </c>
      <c r="G21" s="10"/>
      <c r="H21" s="10"/>
      <c r="I21" s="10"/>
    </row>
    <row r="22" spans="2:9" ht="14.5" customHeight="1" x14ac:dyDescent="0.35">
      <c r="B22" s="131" t="s">
        <v>81</v>
      </c>
      <c r="C22" s="131"/>
      <c r="D22" s="11" t="s">
        <v>331</v>
      </c>
      <c r="E22" s="4" t="s">
        <v>82</v>
      </c>
      <c r="F22" s="18">
        <v>0.01</v>
      </c>
      <c r="G22" s="132" t="s">
        <v>84</v>
      </c>
      <c r="H22" s="132"/>
      <c r="I22" s="13" t="s">
        <v>85</v>
      </c>
    </row>
    <row r="23" spans="2:9" ht="14.5" customHeight="1" x14ac:dyDescent="0.35">
      <c r="B23" s="131" t="s">
        <v>332</v>
      </c>
      <c r="C23" s="131"/>
      <c r="D23" s="4" t="s">
        <v>333</v>
      </c>
      <c r="E23" s="4" t="s">
        <v>70</v>
      </c>
      <c r="F23" s="17">
        <f>0.05173*EXP(0.00142*$F$12)</f>
        <v>0.42311240813498729</v>
      </c>
      <c r="G23" s="10"/>
      <c r="H23" s="10"/>
      <c r="I23" s="10"/>
    </row>
    <row r="24" spans="2:9" ht="14.5" customHeight="1" x14ac:dyDescent="0.35">
      <c r="B24" s="131" t="s">
        <v>78</v>
      </c>
      <c r="C24" s="131"/>
      <c r="D24" s="4" t="s">
        <v>334</v>
      </c>
      <c r="E24" s="4" t="s">
        <v>70</v>
      </c>
      <c r="F24" s="30">
        <f>0.21032*F20^0.4321</f>
        <v>0.42160476628123744</v>
      </c>
    </row>
    <row r="25" spans="2:9" ht="14.5" customHeight="1" x14ac:dyDescent="0.35">
      <c r="B25" s="131" t="s">
        <v>96</v>
      </c>
      <c r="C25" s="131"/>
      <c r="D25" s="4" t="s">
        <v>335</v>
      </c>
      <c r="E25" s="4" t="s">
        <v>88</v>
      </c>
      <c r="F25" s="16">
        <f>F17*F19*( F23 +F24 )/2*1/F21*F22</f>
        <v>9.3167335413554209E-2</v>
      </c>
    </row>
    <row r="26" spans="2:9" s="59" customFormat="1" ht="14.5" customHeight="1" x14ac:dyDescent="0.35">
      <c r="F26" s="16"/>
    </row>
    <row r="27" spans="2:9" s="59" customFormat="1" ht="14.5" customHeight="1" x14ac:dyDescent="0.35">
      <c r="B27" s="133" t="s">
        <v>496</v>
      </c>
      <c r="C27" s="133"/>
      <c r="D27" s="133"/>
      <c r="E27" s="133"/>
      <c r="F27" s="133"/>
    </row>
    <row r="28" spans="2:9" s="59" customFormat="1" ht="14.5" customHeight="1" x14ac:dyDescent="0.35">
      <c r="F28" s="16"/>
    </row>
    <row r="29" spans="2:9" s="59" customFormat="1" ht="14.5" customHeight="1" x14ac:dyDescent="0.35">
      <c r="B29" s="131" t="s">
        <v>497</v>
      </c>
      <c r="C29" s="131"/>
      <c r="D29" s="12"/>
      <c r="E29" s="67" t="s">
        <v>559</v>
      </c>
      <c r="F29" s="3">
        <v>1</v>
      </c>
      <c r="G29" s="132" t="s">
        <v>101</v>
      </c>
      <c r="H29" s="132"/>
    </row>
    <row r="30" spans="2:9" s="59" customFormat="1" ht="14.5" customHeight="1" x14ac:dyDescent="0.35">
      <c r="B30" s="131" t="s">
        <v>498</v>
      </c>
      <c r="C30" s="131"/>
      <c r="D30" s="35"/>
      <c r="E30" s="67" t="s">
        <v>559</v>
      </c>
      <c r="F30" s="18" t="s">
        <v>500</v>
      </c>
    </row>
    <row r="31" spans="2:9" s="59" customFormat="1" ht="14.5" customHeight="1" x14ac:dyDescent="0.35">
      <c r="B31" s="131" t="s">
        <v>81</v>
      </c>
      <c r="C31" s="131"/>
      <c r="D31" s="62" t="s">
        <v>531</v>
      </c>
      <c r="E31" s="59" t="s">
        <v>503</v>
      </c>
      <c r="F31" s="28">
        <v>150</v>
      </c>
      <c r="G31" s="132" t="s">
        <v>84</v>
      </c>
      <c r="H31" s="132"/>
      <c r="I31" s="60" t="str">
        <f>IF(F30=prms!$AF$5,prms!$AG$5, 1)</f>
        <v>100 - 200</v>
      </c>
    </row>
    <row r="32" spans="2:9" s="59" customFormat="1" ht="14.5" customHeight="1" x14ac:dyDescent="0.35">
      <c r="B32" s="131" t="s">
        <v>560</v>
      </c>
      <c r="C32" s="131"/>
      <c r="D32" s="62" t="s">
        <v>512</v>
      </c>
      <c r="E32" s="62" t="s">
        <v>504</v>
      </c>
      <c r="F32" s="28">
        <v>2</v>
      </c>
      <c r="G32" s="132" t="s">
        <v>84</v>
      </c>
      <c r="H32" s="132"/>
      <c r="I32" s="60" t="str">
        <f>IF(F30=prms!$AF$5,prms!$AH$5, 1)</f>
        <v>1 -3</v>
      </c>
    </row>
    <row r="33" spans="2:9" s="59" customFormat="1" ht="14.5" customHeight="1" x14ac:dyDescent="0.35">
      <c r="B33" s="131" t="s">
        <v>514</v>
      </c>
      <c r="C33" s="131"/>
      <c r="D33" s="62"/>
      <c r="E33" s="59" t="s">
        <v>0</v>
      </c>
      <c r="F33" s="25">
        <v>0.1</v>
      </c>
    </row>
    <row r="34" spans="2:9" s="59" customFormat="1" ht="14.5" customHeight="1" x14ac:dyDescent="0.35">
      <c r="B34" s="131" t="s">
        <v>506</v>
      </c>
      <c r="C34" s="131"/>
      <c r="E34" s="59" t="s">
        <v>99</v>
      </c>
      <c r="F34" s="24">
        <f>F33*$F$4*$F$8</f>
        <v>2000</v>
      </c>
    </row>
    <row r="35" spans="2:9" s="59" customFormat="1" ht="14.5" customHeight="1" x14ac:dyDescent="0.35">
      <c r="F35" s="24"/>
    </row>
    <row r="36" spans="2:9" s="59" customFormat="1" ht="14.5" customHeight="1" x14ac:dyDescent="0.35">
      <c r="B36" s="133" t="s">
        <v>508</v>
      </c>
      <c r="C36" s="133"/>
      <c r="D36" s="133"/>
      <c r="E36" s="133"/>
      <c r="F36" s="133"/>
    </row>
    <row r="37" spans="2:9" s="59" customFormat="1" ht="14.5" customHeight="1" x14ac:dyDescent="0.35">
      <c r="F37" s="16"/>
    </row>
    <row r="38" spans="2:9" s="59" customFormat="1" ht="14.5" customHeight="1" x14ac:dyDescent="0.35">
      <c r="B38" s="131" t="s">
        <v>497</v>
      </c>
      <c r="C38" s="131"/>
      <c r="D38" s="12"/>
      <c r="E38" s="67" t="s">
        <v>559</v>
      </c>
      <c r="F38" s="3">
        <v>1</v>
      </c>
      <c r="G38" s="132" t="s">
        <v>101</v>
      </c>
      <c r="H38" s="132"/>
    </row>
    <row r="39" spans="2:9" s="59" customFormat="1" ht="14.5" customHeight="1" x14ac:dyDescent="0.35">
      <c r="B39" s="131" t="s">
        <v>498</v>
      </c>
      <c r="C39" s="131"/>
      <c r="D39" s="35"/>
      <c r="E39" s="67" t="s">
        <v>559</v>
      </c>
      <c r="F39" s="18" t="s">
        <v>510</v>
      </c>
    </row>
    <row r="40" spans="2:9" s="59" customFormat="1" ht="14.5" customHeight="1" x14ac:dyDescent="0.35">
      <c r="B40" s="131" t="s">
        <v>81</v>
      </c>
      <c r="C40" s="131"/>
      <c r="D40" s="62" t="s">
        <v>530</v>
      </c>
      <c r="E40" s="59" t="s">
        <v>503</v>
      </c>
      <c r="F40" s="28">
        <v>800</v>
      </c>
      <c r="G40" s="132" t="s">
        <v>84</v>
      </c>
      <c r="H40" s="132"/>
      <c r="I40" s="60" t="str">
        <f>IF(F39=prms!$AJ$5,prms!$AK$5, 1)</f>
        <v>700 - 900</v>
      </c>
    </row>
    <row r="41" spans="2:9" s="59" customFormat="1" ht="14.5" customHeight="1" x14ac:dyDescent="0.35">
      <c r="B41" s="131" t="s">
        <v>560</v>
      </c>
      <c r="C41" s="131"/>
      <c r="D41" s="62" t="s">
        <v>513</v>
      </c>
      <c r="E41" s="62" t="s">
        <v>504</v>
      </c>
      <c r="F41" s="28">
        <v>80</v>
      </c>
      <c r="G41" s="132" t="s">
        <v>84</v>
      </c>
      <c r="H41" s="132"/>
      <c r="I41" s="60" t="str">
        <f>IF(F39=prms!$AJ$5,prms!$AL$5, 1)</f>
        <v>70 - 90</v>
      </c>
    </row>
    <row r="42" spans="2:9" s="59" customFormat="1" ht="14.5" customHeight="1" x14ac:dyDescent="0.35">
      <c r="B42" s="131" t="s">
        <v>514</v>
      </c>
      <c r="C42" s="131"/>
      <c r="D42" s="62"/>
      <c r="E42" s="59" t="s">
        <v>0</v>
      </c>
      <c r="F42" s="25">
        <v>0.3</v>
      </c>
    </row>
    <row r="43" spans="2:9" s="59" customFormat="1" ht="14.5" customHeight="1" x14ac:dyDescent="0.35">
      <c r="B43" s="131" t="s">
        <v>506</v>
      </c>
      <c r="C43" s="131"/>
      <c r="E43" s="59" t="s">
        <v>99</v>
      </c>
      <c r="F43" s="24">
        <f>F42*$F$4*$F$8</f>
        <v>6000</v>
      </c>
    </row>
    <row r="44" spans="2:9" ht="14.5" customHeight="1" x14ac:dyDescent="0.35">
      <c r="F44" s="16"/>
    </row>
    <row r="45" spans="2:9" ht="14.5" customHeight="1" x14ac:dyDescent="0.35">
      <c r="B45" s="125" t="s">
        <v>283</v>
      </c>
      <c r="C45" s="125"/>
      <c r="D45" s="125"/>
      <c r="E45" s="125"/>
      <c r="F45" s="125"/>
    </row>
    <row r="47" spans="2:9" ht="14.5" customHeight="1" x14ac:dyDescent="0.35">
      <c r="B47" s="131" t="s">
        <v>337</v>
      </c>
      <c r="C47" s="131"/>
      <c r="E47" s="4" t="s">
        <v>98</v>
      </c>
      <c r="F47" s="24">
        <f>F25*F8*F4*F9</f>
        <v>559.00401248132528</v>
      </c>
    </row>
    <row r="48" spans="2:9" ht="14.5" customHeight="1" x14ac:dyDescent="0.35">
      <c r="B48" s="131" t="s">
        <v>336</v>
      </c>
      <c r="C48" s="131"/>
      <c r="E48" s="4" t="s">
        <v>70</v>
      </c>
      <c r="F48" s="28">
        <v>8</v>
      </c>
    </row>
    <row r="49" spans="2:6" ht="14.5" customHeight="1" x14ac:dyDescent="0.35">
      <c r="F49" s="17"/>
    </row>
    <row r="50" spans="2:6" ht="14.5" customHeight="1" x14ac:dyDescent="0.35">
      <c r="B50" s="131" t="s">
        <v>143</v>
      </c>
      <c r="C50" s="131"/>
      <c r="D50" s="4" t="s">
        <v>338</v>
      </c>
      <c r="E50" s="4" t="s">
        <v>98</v>
      </c>
      <c r="F50" s="24">
        <f>F47*F48</f>
        <v>4472.0320998506022</v>
      </c>
    </row>
    <row r="51" spans="2:6" ht="14.5" customHeight="1" x14ac:dyDescent="0.35">
      <c r="B51" s="131" t="s">
        <v>132</v>
      </c>
      <c r="C51" s="131"/>
      <c r="D51" s="4" t="s">
        <v>133</v>
      </c>
      <c r="E51" s="4" t="s">
        <v>134</v>
      </c>
      <c r="F51" s="25">
        <v>2.6</v>
      </c>
    </row>
    <row r="52" spans="2:6" ht="14.5" customHeight="1" x14ac:dyDescent="0.35">
      <c r="B52" s="131" t="s">
        <v>565</v>
      </c>
      <c r="C52" s="131"/>
      <c r="D52" s="4" t="s">
        <v>130</v>
      </c>
      <c r="E52" s="4" t="s">
        <v>131</v>
      </c>
      <c r="F52" s="24">
        <f>F50*F51</f>
        <v>11627.283459611566</v>
      </c>
    </row>
    <row r="53" spans="2:6" s="66" customFormat="1" ht="14.5" customHeight="1" x14ac:dyDescent="0.35">
      <c r="E53" s="66" t="s">
        <v>558</v>
      </c>
      <c r="F53" s="74">
        <f>F52/1000</f>
        <v>11.627283459611567</v>
      </c>
    </row>
    <row r="55" spans="2:6" s="66" customFormat="1" ht="14.5" customHeight="1" x14ac:dyDescent="0.35">
      <c r="B55" s="125" t="s">
        <v>496</v>
      </c>
      <c r="C55" s="125"/>
      <c r="D55" s="125"/>
      <c r="E55" s="125"/>
      <c r="F55" s="125"/>
    </row>
    <row r="56" spans="2:6" s="66" customFormat="1" ht="14.5" customHeight="1" x14ac:dyDescent="0.35"/>
    <row r="57" spans="2:6" ht="14.5" customHeight="1" x14ac:dyDescent="0.35">
      <c r="B57" s="131" t="s">
        <v>507</v>
      </c>
      <c r="C57" s="131"/>
      <c r="E57" s="4" t="s">
        <v>450</v>
      </c>
      <c r="F57" s="24">
        <f>F34/F31*F29</f>
        <v>13.333333333333334</v>
      </c>
    </row>
    <row r="58" spans="2:6" ht="14.5" customHeight="1" x14ac:dyDescent="0.35">
      <c r="B58" s="131" t="s">
        <v>143</v>
      </c>
      <c r="C58" s="131"/>
      <c r="D58" s="59" t="s">
        <v>338</v>
      </c>
      <c r="E58" s="59" t="s">
        <v>98</v>
      </c>
      <c r="F58" s="24">
        <f>F32*F57</f>
        <v>26.666666666666668</v>
      </c>
    </row>
    <row r="59" spans="2:6" ht="14.5" customHeight="1" x14ac:dyDescent="0.35">
      <c r="B59" s="131" t="s">
        <v>132</v>
      </c>
      <c r="C59" s="131"/>
      <c r="D59" s="59" t="s">
        <v>133</v>
      </c>
      <c r="E59" s="59" t="s">
        <v>134</v>
      </c>
      <c r="F59" s="25">
        <v>2.6</v>
      </c>
    </row>
    <row r="60" spans="2:6" ht="14.5" customHeight="1" x14ac:dyDescent="0.35">
      <c r="B60" s="131" t="s">
        <v>565</v>
      </c>
      <c r="C60" s="131"/>
      <c r="D60" s="59" t="s">
        <v>130</v>
      </c>
      <c r="E60" s="59" t="s">
        <v>131</v>
      </c>
      <c r="F60" s="24">
        <f>F58*F59</f>
        <v>69.333333333333343</v>
      </c>
    </row>
    <row r="61" spans="2:6" s="66" customFormat="1" ht="14.5" customHeight="1" x14ac:dyDescent="0.35">
      <c r="E61" s="66" t="s">
        <v>558</v>
      </c>
      <c r="F61" s="74">
        <f>F60/1000</f>
        <v>6.9333333333333344E-2</v>
      </c>
    </row>
    <row r="63" spans="2:6" s="66" customFormat="1" ht="14.5" customHeight="1" x14ac:dyDescent="0.35">
      <c r="B63" s="125" t="s">
        <v>508</v>
      </c>
      <c r="C63" s="125"/>
      <c r="D63" s="125"/>
      <c r="E63" s="125"/>
      <c r="F63" s="125"/>
    </row>
    <row r="64" spans="2:6" s="66" customFormat="1" ht="14.5" customHeight="1" x14ac:dyDescent="0.35"/>
    <row r="65" spans="2:6" ht="14.5" customHeight="1" x14ac:dyDescent="0.35">
      <c r="B65" s="131" t="s">
        <v>516</v>
      </c>
      <c r="C65" s="131"/>
      <c r="D65" s="59"/>
      <c r="E65" s="59" t="s">
        <v>450</v>
      </c>
      <c r="F65" s="24">
        <f>F43/F40*F38</f>
        <v>7.5</v>
      </c>
    </row>
    <row r="66" spans="2:6" ht="14.5" customHeight="1" x14ac:dyDescent="0.35">
      <c r="B66" s="131" t="s">
        <v>143</v>
      </c>
      <c r="C66" s="131"/>
      <c r="D66" s="59" t="s">
        <v>338</v>
      </c>
      <c r="E66" s="59" t="s">
        <v>98</v>
      </c>
      <c r="F66" s="24">
        <f>F41*F65</f>
        <v>600</v>
      </c>
    </row>
    <row r="67" spans="2:6" ht="14.5" customHeight="1" x14ac:dyDescent="0.35">
      <c r="B67" s="131" t="s">
        <v>132</v>
      </c>
      <c r="C67" s="131"/>
      <c r="D67" s="59" t="s">
        <v>133</v>
      </c>
      <c r="E67" s="59" t="s">
        <v>134</v>
      </c>
      <c r="F67" s="25">
        <v>2.6</v>
      </c>
    </row>
    <row r="68" spans="2:6" ht="14.5" customHeight="1" x14ac:dyDescent="0.35">
      <c r="B68" s="131" t="s">
        <v>565</v>
      </c>
      <c r="C68" s="131"/>
      <c r="D68" s="59" t="s">
        <v>130</v>
      </c>
      <c r="E68" s="59" t="s">
        <v>131</v>
      </c>
      <c r="F68" s="24">
        <f>F66*F67</f>
        <v>1560</v>
      </c>
    </row>
    <row r="69" spans="2:6" s="66" customFormat="1" ht="14.5" customHeight="1" x14ac:dyDescent="0.35">
      <c r="E69" s="66" t="s">
        <v>558</v>
      </c>
      <c r="F69" s="74">
        <f>F68/1000</f>
        <v>1.56</v>
      </c>
    </row>
    <row r="71" spans="2:6" ht="14.5" customHeight="1" x14ac:dyDescent="0.35">
      <c r="B71" s="125" t="s">
        <v>557</v>
      </c>
      <c r="C71" s="125"/>
      <c r="D71" s="125"/>
      <c r="E71" s="125"/>
      <c r="F71" s="125"/>
    </row>
    <row r="72" spans="2:6" ht="14.5" customHeight="1" x14ac:dyDescent="0.35">
      <c r="B72" s="66"/>
      <c r="C72" s="66"/>
      <c r="D72" s="66"/>
      <c r="E72" s="66"/>
      <c r="F72" s="66"/>
    </row>
    <row r="73" spans="2:6" ht="14.5" customHeight="1" x14ac:dyDescent="0.35">
      <c r="B73" s="131" t="s">
        <v>129</v>
      </c>
      <c r="C73" s="131"/>
      <c r="D73" s="68" t="s">
        <v>130</v>
      </c>
      <c r="E73" s="66" t="s">
        <v>131</v>
      </c>
      <c r="F73" s="24">
        <f>F52+F60+F68</f>
        <v>13256.6167929449</v>
      </c>
    </row>
    <row r="74" spans="2:6" ht="14.5" customHeight="1" x14ac:dyDescent="0.35">
      <c r="B74" s="66"/>
      <c r="C74" s="66"/>
      <c r="D74" s="66"/>
      <c r="E74" s="66" t="s">
        <v>558</v>
      </c>
      <c r="F74" s="75">
        <f>F73/1000</f>
        <v>13.2566167929449</v>
      </c>
    </row>
  </sheetData>
  <mergeCells count="62">
    <mergeCell ref="B11:C11"/>
    <mergeCell ref="B12:C12"/>
    <mergeCell ref="B2:F2"/>
    <mergeCell ref="B4:C4"/>
    <mergeCell ref="B6:F6"/>
    <mergeCell ref="B8:C8"/>
    <mergeCell ref="B9:C9"/>
    <mergeCell ref="B10:C10"/>
    <mergeCell ref="B14:F14"/>
    <mergeCell ref="B51:C51"/>
    <mergeCell ref="B48:C48"/>
    <mergeCell ref="B45:F45"/>
    <mergeCell ref="B24:C24"/>
    <mergeCell ref="B31:C31"/>
    <mergeCell ref="B34:C34"/>
    <mergeCell ref="B36:F36"/>
    <mergeCell ref="B38:C38"/>
    <mergeCell ref="B42:C42"/>
    <mergeCell ref="B43:C43"/>
    <mergeCell ref="B47:C47"/>
    <mergeCell ref="B39:C39"/>
    <mergeCell ref="B40:C40"/>
    <mergeCell ref="G29:H29"/>
    <mergeCell ref="B30:C30"/>
    <mergeCell ref="B16:C16"/>
    <mergeCell ref="B17:C17"/>
    <mergeCell ref="B18:C18"/>
    <mergeCell ref="B65:C65"/>
    <mergeCell ref="B63:F63"/>
    <mergeCell ref="G17:H17"/>
    <mergeCell ref="G18:H18"/>
    <mergeCell ref="B50:C50"/>
    <mergeCell ref="B25:C25"/>
    <mergeCell ref="B23:C23"/>
    <mergeCell ref="B19:C19"/>
    <mergeCell ref="G19:I19"/>
    <mergeCell ref="B20:C20"/>
    <mergeCell ref="G20:H20"/>
    <mergeCell ref="B21:C21"/>
    <mergeCell ref="B22:C22"/>
    <mergeCell ref="G22:H22"/>
    <mergeCell ref="B27:F27"/>
    <mergeCell ref="B29:C29"/>
    <mergeCell ref="G40:H40"/>
    <mergeCell ref="B41:C41"/>
    <mergeCell ref="G41:H41"/>
    <mergeCell ref="G31:H31"/>
    <mergeCell ref="B32:C32"/>
    <mergeCell ref="G32:H32"/>
    <mergeCell ref="B33:C33"/>
    <mergeCell ref="G38:H38"/>
    <mergeCell ref="B57:C57"/>
    <mergeCell ref="B58:C58"/>
    <mergeCell ref="B59:C59"/>
    <mergeCell ref="B60:C60"/>
    <mergeCell ref="B52:C52"/>
    <mergeCell ref="B55:F55"/>
    <mergeCell ref="B71:F71"/>
    <mergeCell ref="B73:C73"/>
    <mergeCell ref="B66:C66"/>
    <mergeCell ref="B67:C67"/>
    <mergeCell ref="B68:C6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E6A50507-6B8F-46AD-906C-65DCE60D242E}">
          <x14:formula1>
            <xm:f>prms!$B$5:$B$29</xm:f>
          </x14:formula1>
          <xm:sqref>F10</xm:sqref>
        </x14:dataValidation>
        <x14:dataValidation type="list" allowBlank="1" showInputMessage="1" showErrorMessage="1" xr:uid="{FEDFD4C1-03AE-4BE8-A6B4-ACD2899A6847}">
          <x14:formula1>
            <xm:f>prms!$Q$5:$Q$10</xm:f>
          </x14:formula1>
          <xm:sqref>F16</xm:sqref>
        </x14:dataValidation>
        <x14:dataValidation type="list" allowBlank="1" showInputMessage="1" showErrorMessage="1" xr:uid="{7AE88FCB-0D33-4524-B4CC-79C8BB88F0B1}">
          <x14:formula1>
            <xm:f>prms!$AF$5</xm:f>
          </x14:formula1>
          <xm:sqref>F30</xm:sqref>
        </x14:dataValidation>
        <x14:dataValidation type="list" allowBlank="1" showInputMessage="1" showErrorMessage="1" xr:uid="{3EFB2549-01E6-4EA0-8575-D0D868E79AEB}">
          <x14:formula1>
            <xm:f>prms!$AJ$5</xm:f>
          </x14:formula1>
          <xm:sqref>F39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0F73-7B15-4E42-8F83-E768E09191FD}">
  <dimension ref="B2:I107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19"/>
    <col min="2" max="3" width="15.6328125" style="19" customWidth="1"/>
    <col min="4" max="4" width="12.6328125" style="19" customWidth="1"/>
    <col min="5" max="5" width="12.6328125" style="19"/>
    <col min="6" max="6" width="20.6328125" style="19" customWidth="1"/>
    <col min="7" max="9" width="12.6328125" style="19" customWidth="1"/>
    <col min="10" max="16384" width="12.6328125" style="19"/>
  </cols>
  <sheetData>
    <row r="2" spans="2:6" ht="14.5" customHeight="1" x14ac:dyDescent="0.35">
      <c r="B2" s="133" t="s">
        <v>30</v>
      </c>
      <c r="C2" s="133"/>
      <c r="D2" s="133"/>
      <c r="E2" s="133"/>
      <c r="F2" s="133"/>
    </row>
    <row r="3" spans="2:6" ht="14.5" customHeight="1" x14ac:dyDescent="0.35">
      <c r="B3" s="8"/>
      <c r="C3" s="8"/>
      <c r="D3" s="8"/>
      <c r="E3" s="8"/>
      <c r="F3" s="8"/>
    </row>
    <row r="4" spans="2:6" ht="14.5" customHeight="1" x14ac:dyDescent="0.35">
      <c r="B4" s="131" t="s">
        <v>1</v>
      </c>
      <c r="C4" s="131"/>
      <c r="D4" s="12"/>
      <c r="E4" s="19" t="s">
        <v>0</v>
      </c>
      <c r="F4" s="19">
        <v>1000</v>
      </c>
    </row>
    <row r="6" spans="2:6" ht="14.5" customHeight="1" x14ac:dyDescent="0.35">
      <c r="B6" s="133" t="s">
        <v>365</v>
      </c>
      <c r="C6" s="133"/>
      <c r="D6" s="133"/>
      <c r="E6" s="133"/>
      <c r="F6" s="133"/>
    </row>
    <row r="7" spans="2:6" ht="14.5" customHeight="1" x14ac:dyDescent="0.35">
      <c r="B7" s="8"/>
      <c r="C7" s="8"/>
      <c r="D7" s="8"/>
      <c r="E7" s="8"/>
      <c r="F7" s="8"/>
    </row>
    <row r="8" spans="2:6" ht="14.5" customHeight="1" x14ac:dyDescent="0.35">
      <c r="B8" s="131" t="s">
        <v>340</v>
      </c>
      <c r="C8" s="131"/>
      <c r="D8" s="12"/>
      <c r="E8" s="19" t="s">
        <v>0</v>
      </c>
      <c r="F8" s="3">
        <v>18</v>
      </c>
    </row>
    <row r="9" spans="2:6" ht="14.5" customHeight="1" x14ac:dyDescent="0.35">
      <c r="B9" s="131" t="s">
        <v>376</v>
      </c>
      <c r="C9" s="131"/>
      <c r="D9" s="12"/>
      <c r="E9" s="19" t="s">
        <v>0</v>
      </c>
      <c r="F9" s="3">
        <v>0.5</v>
      </c>
    </row>
    <row r="10" spans="2:6" ht="14.5" customHeight="1" x14ac:dyDescent="0.35">
      <c r="B10" s="135" t="s">
        <v>341</v>
      </c>
      <c r="C10" s="135"/>
      <c r="D10" s="7"/>
      <c r="E10" s="22" t="s">
        <v>559</v>
      </c>
      <c r="F10" s="3" t="s">
        <v>11</v>
      </c>
    </row>
    <row r="11" spans="2:6" ht="14.5" customHeight="1" x14ac:dyDescent="0.35">
      <c r="B11" s="134" t="s">
        <v>3</v>
      </c>
      <c r="C11" s="134"/>
      <c r="D11" s="34" t="s">
        <v>380</v>
      </c>
      <c r="E11" s="21" t="s">
        <v>29</v>
      </c>
      <c r="F11" s="19">
        <f xml:space="preserve">
IF(
F10=prms!$B$5,prms!$C$5,
IF(F10=prms!$B$6,prms!$C$6,
IF(F10=prms!$B$7,prms!$C$7,
IF(F10=prms!$B$8,prms!$C$8,
IF(F10=prms!$B$9,prms!$C$9,
IF(F10=prms!$B$10,prms!$C$10,
IF(F10=prms!$B$11,prms!$C$11,
IF(F10=prms!$B$12,prms!$C$12,
IF(F10=prms!$B$13,prms!$C$13,
IF(F10=prms!$B$14,prms!$C$14,
IF(F10=prms!$B$15,prms!$C$15,
IF(F10=prms!$B$16,prms!$C$16,
IF(F10=prms!$B$17,prms!$C$17,
IF(F10=prms!$B$18,prms!$C$18,
IF(F10=prms!$B$19,prms!$C$19,
IF(F10=prms!$B$20,prms!$C$20,
IF(F10=prms!$B$21,prms!$C$21,
IF(F10=prms!$B$22,prms!$C$22,
IF(F10=prms!$B$23,prms!$C$23,
IF(F10=prms!$B$24,prms!$C$24,
IF(F10=prms!$B$25,prms!$C$25,
IF(F10=prms!$B$26,prms!$C$26,
IF(F10=prms!$B$27,prms!$C$27,
IF(F10=prms!$B$28,prms!$C$28,
IF(F10=prms!$B$29,prms!$C$29,
)))))))))))))))))))))))))</f>
        <v>1690</v>
      </c>
    </row>
    <row r="12" spans="2:6" ht="14.5" customHeight="1" x14ac:dyDescent="0.35">
      <c r="B12" s="134" t="s">
        <v>4</v>
      </c>
      <c r="C12" s="134"/>
      <c r="D12" s="34" t="s">
        <v>381</v>
      </c>
      <c r="E12" s="21" t="s">
        <v>29</v>
      </c>
      <c r="F12" s="19">
        <f xml:space="preserve">
IF(
F10=prms!$B$5,prms!$D$5,
IF(F10=prms!$B$6,prms!$D$6,
IF(F10=prms!$B$7,prms!$D$7,
IF(F10=prms!$B$8,prms!$D$8,
IF(F10=prms!$B$9,prms!$D$9,
IF(F10=prms!$B$10,prms!$D$10,
IF(F10=prms!$B$11,prms!$D$11,
IF(F10=prms!$B$12,prms!$D$12,
IF(F10=prms!$B$13,prms!$D$13,
IF(F10=prms!$B$14,prms!$D$14,
IF(F10=prms!$B$15,prms!$D$15,
IF(F10=prms!$B$16,prms!$D$16,
IF(F10=prms!$B$17,prms!$D$17,
IF(F10=prms!$B$18,prms!$D$18,
IF(F10=prms!$B$19,prms!$D$19,
IF(F10=prms!$B$20,prms!$D$20,
IF(F10=prms!$B$21,prms!$D$21,
IF(F10=prms!$B$22,prms!$D$22,
IF(F10=prms!$B$23,prms!$D$23,
IF(F10=prms!$B$24,prms!$D$24,
IF(F10=prms!$B$25,prms!$D$25,
IF(F10=prms!$B$26,prms!$D$26,
IF(F10=prms!$B$27,prms!$D$27,
IF(F10=prms!$B$28,prms!$D$28,
IF(F10=prms!$B$29,prms!$D$29)))))))))))))))))))))))))</f>
        <v>1510</v>
      </c>
    </row>
    <row r="13" spans="2:6" ht="14.5" customHeight="1" x14ac:dyDescent="0.35">
      <c r="B13" s="21"/>
      <c r="C13" s="21"/>
      <c r="D13" s="34"/>
      <c r="E13" s="21"/>
    </row>
    <row r="14" spans="2:6" ht="14.5" customHeight="1" x14ac:dyDescent="0.35">
      <c r="B14" s="134" t="s">
        <v>563</v>
      </c>
      <c r="C14" s="134"/>
      <c r="D14" s="34"/>
      <c r="E14" s="21" t="s">
        <v>99</v>
      </c>
      <c r="F14" s="19">
        <f>F4*F8*F9</f>
        <v>9000</v>
      </c>
    </row>
    <row r="15" spans="2:6" ht="14.5" customHeight="1" x14ac:dyDescent="0.35">
      <c r="B15" s="21"/>
      <c r="C15" s="21"/>
      <c r="D15" s="34"/>
      <c r="E15" s="21"/>
    </row>
    <row r="16" spans="2:6" ht="14.5" customHeight="1" x14ac:dyDescent="0.35">
      <c r="B16" s="133" t="s">
        <v>366</v>
      </c>
      <c r="C16" s="133"/>
      <c r="D16" s="133"/>
      <c r="E16" s="133"/>
      <c r="F16" s="133"/>
    </row>
    <row r="17" spans="2:9" ht="14.5" customHeight="1" x14ac:dyDescent="0.35">
      <c r="B17" s="8"/>
      <c r="C17" s="8"/>
      <c r="D17" s="8"/>
      <c r="E17" s="8"/>
      <c r="F17" s="8"/>
    </row>
    <row r="18" spans="2:9" ht="14.5" customHeight="1" x14ac:dyDescent="0.35">
      <c r="B18" s="131" t="s">
        <v>353</v>
      </c>
      <c r="C18" s="131"/>
      <c r="D18" s="35"/>
      <c r="E18" s="78" t="s">
        <v>559</v>
      </c>
      <c r="F18" s="3" t="s">
        <v>344</v>
      </c>
      <c r="G18" s="32"/>
      <c r="H18" s="32"/>
    </row>
    <row r="19" spans="2:9" ht="14.5" customHeight="1" x14ac:dyDescent="0.35">
      <c r="B19" s="131" t="s">
        <v>37</v>
      </c>
      <c r="C19" s="131"/>
      <c r="D19" s="21"/>
      <c r="E19" s="19" t="s">
        <v>38</v>
      </c>
      <c r="F19" s="3">
        <v>150</v>
      </c>
      <c r="G19" s="132" t="s">
        <v>84</v>
      </c>
      <c r="H19" s="132"/>
      <c r="I19" s="26" t="str">
        <f>IF(F18=prms!$M$5,prms!$N$5, IF('2 SBBS'!F18=prms!$M$6,prms!$N$6,IF('2 SBBS'!F18=prms!$M$7,prms!$N$7,1 )))</f>
        <v>131 - 195</v>
      </c>
    </row>
    <row r="20" spans="2:9" ht="14.5" customHeight="1" x14ac:dyDescent="0.35">
      <c r="B20" s="131" t="s">
        <v>349</v>
      </c>
      <c r="C20" s="131"/>
      <c r="D20" s="21"/>
      <c r="E20" s="19" t="s">
        <v>0</v>
      </c>
      <c r="F20" s="25">
        <v>4</v>
      </c>
      <c r="G20" s="132" t="s">
        <v>84</v>
      </c>
      <c r="H20" s="132"/>
      <c r="I20" s="26" t="str">
        <f>IF(F18=prms!$M$5,prms!$O$5, IF('2 SBBS'!F18=prms!$M$6,prms!$O$6,IF('2 SBBS'!F18=prms!$M$7,prms!$O$7,1 )))</f>
        <v>2.99 - 5.77</v>
      </c>
    </row>
    <row r="21" spans="2:9" ht="14.5" customHeight="1" x14ac:dyDescent="0.35">
      <c r="B21" s="131" t="s">
        <v>45</v>
      </c>
      <c r="C21" s="131"/>
      <c r="D21" s="21" t="s">
        <v>360</v>
      </c>
      <c r="E21" s="19" t="s">
        <v>46</v>
      </c>
      <c r="F21" s="3">
        <v>0.25</v>
      </c>
      <c r="G21" s="132" t="s">
        <v>83</v>
      </c>
      <c r="H21" s="132"/>
      <c r="I21" s="132"/>
    </row>
    <row r="22" spans="2:9" ht="14.5" customHeight="1" x14ac:dyDescent="0.35">
      <c r="B22" s="131" t="s">
        <v>209</v>
      </c>
      <c r="C22" s="131"/>
      <c r="D22" s="21" t="s">
        <v>354</v>
      </c>
      <c r="E22" s="19" t="s">
        <v>286</v>
      </c>
      <c r="F22" s="3">
        <v>5</v>
      </c>
      <c r="G22" s="132" t="s">
        <v>84</v>
      </c>
      <c r="H22" s="132"/>
      <c r="I22" s="26" t="s">
        <v>211</v>
      </c>
    </row>
    <row r="23" spans="2:9" ht="14.5" customHeight="1" x14ac:dyDescent="0.35">
      <c r="B23" s="131" t="s">
        <v>79</v>
      </c>
      <c r="C23" s="131"/>
      <c r="D23" s="21" t="s">
        <v>355</v>
      </c>
      <c r="E23" s="19" t="s">
        <v>80</v>
      </c>
      <c r="F23" s="3">
        <v>0.85</v>
      </c>
      <c r="G23" s="20"/>
      <c r="H23" s="20"/>
      <c r="I23" s="20"/>
    </row>
    <row r="24" spans="2:9" ht="14.5" customHeight="1" x14ac:dyDescent="0.35">
      <c r="B24" s="131" t="s">
        <v>81</v>
      </c>
      <c r="C24" s="131"/>
      <c r="D24" s="21" t="s">
        <v>356</v>
      </c>
      <c r="E24" s="19" t="s">
        <v>82</v>
      </c>
      <c r="F24" s="18">
        <v>0.01</v>
      </c>
      <c r="G24" s="132" t="s">
        <v>84</v>
      </c>
      <c r="H24" s="132"/>
      <c r="I24" s="26" t="s">
        <v>85</v>
      </c>
    </row>
    <row r="25" spans="2:9" ht="14.5" customHeight="1" x14ac:dyDescent="0.35">
      <c r="B25" s="131" t="s">
        <v>332</v>
      </c>
      <c r="C25" s="131"/>
      <c r="D25" s="21" t="s">
        <v>357</v>
      </c>
      <c r="E25" s="19" t="s">
        <v>70</v>
      </c>
      <c r="F25" s="17">
        <f>0.05862*EXP(0.00101*$F$12)</f>
        <v>0.26939425411124285</v>
      </c>
      <c r="G25" s="20"/>
      <c r="H25" s="20"/>
      <c r="I25" s="20"/>
    </row>
    <row r="26" spans="2:9" ht="14.5" customHeight="1" x14ac:dyDescent="0.35">
      <c r="B26" s="131" t="s">
        <v>78</v>
      </c>
      <c r="C26" s="131"/>
      <c r="D26" s="21" t="s">
        <v>358</v>
      </c>
      <c r="E26" s="19" t="s">
        <v>70</v>
      </c>
      <c r="F26" s="30">
        <f>0.00868*F22+0.15333</f>
        <v>0.19672999999999999</v>
      </c>
    </row>
    <row r="27" spans="2:9" ht="14.5" customHeight="1" x14ac:dyDescent="0.35">
      <c r="B27" s="131" t="s">
        <v>96</v>
      </c>
      <c r="C27" s="131"/>
      <c r="D27" s="21" t="s">
        <v>359</v>
      </c>
      <c r="E27" s="19" t="s">
        <v>88</v>
      </c>
      <c r="F27" s="16">
        <f>F19*F21*( F25+F26 )/2*1/F23*F24</f>
        <v>0.10282152664218591</v>
      </c>
    </row>
    <row r="28" spans="2:9" ht="14.5" customHeight="1" x14ac:dyDescent="0.35">
      <c r="D28" s="21"/>
    </row>
    <row r="29" spans="2:9" ht="14.5" customHeight="1" x14ac:dyDescent="0.35">
      <c r="B29" s="133" t="s">
        <v>283</v>
      </c>
      <c r="C29" s="133"/>
      <c r="D29" s="133"/>
      <c r="E29" s="133"/>
      <c r="F29" s="133"/>
    </row>
    <row r="30" spans="2:9" ht="14.5" customHeight="1" x14ac:dyDescent="0.35">
      <c r="B30" s="8"/>
      <c r="C30" s="8"/>
      <c r="D30" s="8"/>
      <c r="E30" s="8"/>
      <c r="F30" s="8"/>
    </row>
    <row r="31" spans="2:9" ht="14.5" customHeight="1" x14ac:dyDescent="0.35">
      <c r="B31" s="131" t="s">
        <v>285</v>
      </c>
      <c r="C31" s="131"/>
      <c r="D31" s="8"/>
      <c r="E31" s="78" t="s">
        <v>559</v>
      </c>
      <c r="F31" s="33" t="s">
        <v>260</v>
      </c>
    </row>
    <row r="32" spans="2:9" ht="14.5" customHeight="1" x14ac:dyDescent="0.35">
      <c r="B32" s="131" t="s">
        <v>37</v>
      </c>
      <c r="C32" s="131"/>
      <c r="E32" s="19" t="s">
        <v>38</v>
      </c>
      <c r="F32" s="3">
        <v>120</v>
      </c>
      <c r="G32" s="132" t="s">
        <v>84</v>
      </c>
      <c r="H32" s="132"/>
      <c r="I32" s="32" t="str">
        <f>IF($F$31=prms!$Q$5,prms!$R$5,IF($F$31=prms!Q6,prms!$R$6,IF($F$31=prms!$Q$7,prms!$R$7,IF($F$31=prms!$Q$8,prms!$R$8,IF($F$31=prms!$Q$9,prms!R$9,IF($F$31=prms!$Q$10,prms!$R$10,1))))))</f>
        <v>48 - 160</v>
      </c>
    </row>
    <row r="33" spans="2:9" ht="14.5" customHeight="1" x14ac:dyDescent="0.35">
      <c r="B33" s="131" t="s">
        <v>256</v>
      </c>
      <c r="C33" s="131"/>
      <c r="E33" s="19" t="s">
        <v>0</v>
      </c>
      <c r="F33" s="25">
        <v>2</v>
      </c>
      <c r="G33" s="132" t="s">
        <v>84</v>
      </c>
      <c r="H33" s="132"/>
      <c r="I33" s="32" t="str">
        <f>IF($F$31=prms!$Q$5,prms!$S$5,IF($F$31=prms!$Q$6,prms!$S$6,IF($F$31=prms!$Q$7,prms!$S$7,IF($F$31=prms!$Q$8,prms!$S$8,IF($F$31=prms!$Q$9,prms!$S$9,IF($F$31=prms!$Q$10,prms!$S$10,1))))))</f>
        <v>1.67 - 2.14</v>
      </c>
    </row>
    <row r="34" spans="2:9" ht="14.5" customHeight="1" x14ac:dyDescent="0.35">
      <c r="B34" s="131" t="s">
        <v>45</v>
      </c>
      <c r="C34" s="131"/>
      <c r="D34" s="19" t="s">
        <v>330</v>
      </c>
      <c r="E34" s="19" t="s">
        <v>46</v>
      </c>
      <c r="F34" s="3">
        <v>0.25</v>
      </c>
      <c r="G34" s="132" t="s">
        <v>83</v>
      </c>
      <c r="H34" s="132"/>
      <c r="I34" s="132"/>
    </row>
    <row r="35" spans="2:9" ht="14.5" customHeight="1" x14ac:dyDescent="0.35">
      <c r="B35" s="131" t="s">
        <v>209</v>
      </c>
      <c r="C35" s="131"/>
      <c r="D35" s="19" t="s">
        <v>287</v>
      </c>
      <c r="E35" s="19" t="s">
        <v>286</v>
      </c>
      <c r="F35" s="3">
        <v>5</v>
      </c>
      <c r="G35" s="132" t="s">
        <v>84</v>
      </c>
      <c r="H35" s="132"/>
      <c r="I35" s="26" t="s">
        <v>211</v>
      </c>
    </row>
    <row r="36" spans="2:9" ht="14.5" customHeight="1" x14ac:dyDescent="0.35">
      <c r="B36" s="131" t="s">
        <v>79</v>
      </c>
      <c r="C36" s="131"/>
      <c r="D36" s="34" t="s">
        <v>288</v>
      </c>
      <c r="E36" s="19" t="s">
        <v>80</v>
      </c>
      <c r="F36" s="3">
        <v>0.85</v>
      </c>
      <c r="G36" s="20"/>
      <c r="H36" s="20"/>
      <c r="I36" s="20"/>
    </row>
    <row r="37" spans="2:9" ht="14.5" customHeight="1" x14ac:dyDescent="0.35">
      <c r="B37" s="131" t="s">
        <v>81</v>
      </c>
      <c r="C37" s="131"/>
      <c r="D37" s="11" t="s">
        <v>331</v>
      </c>
      <c r="E37" s="19" t="s">
        <v>82</v>
      </c>
      <c r="F37" s="18">
        <v>0.01</v>
      </c>
      <c r="G37" s="132" t="s">
        <v>84</v>
      </c>
      <c r="H37" s="132"/>
      <c r="I37" s="26" t="s">
        <v>85</v>
      </c>
    </row>
    <row r="38" spans="2:9" ht="14.5" customHeight="1" x14ac:dyDescent="0.35">
      <c r="B38" s="131" t="s">
        <v>332</v>
      </c>
      <c r="C38" s="131"/>
      <c r="D38" s="19" t="s">
        <v>333</v>
      </c>
      <c r="E38" s="19" t="s">
        <v>70</v>
      </c>
      <c r="F38" s="17">
        <f>0.05173*EXP(0.00142*$F$12)</f>
        <v>0.4415264307344936</v>
      </c>
      <c r="G38" s="20"/>
      <c r="H38" s="20"/>
      <c r="I38" s="20"/>
    </row>
    <row r="39" spans="2:9" ht="14.5" customHeight="1" x14ac:dyDescent="0.35">
      <c r="B39" s="131" t="s">
        <v>78</v>
      </c>
      <c r="C39" s="131"/>
      <c r="D39" s="19" t="s">
        <v>334</v>
      </c>
      <c r="E39" s="19" t="s">
        <v>70</v>
      </c>
      <c r="F39" s="30">
        <f>0.21032*F35^0.4321</f>
        <v>0.42160476628123744</v>
      </c>
    </row>
    <row r="40" spans="2:9" ht="14.5" customHeight="1" x14ac:dyDescent="0.35">
      <c r="B40" s="131" t="s">
        <v>96</v>
      </c>
      <c r="C40" s="131"/>
      <c r="D40" s="19" t="s">
        <v>335</v>
      </c>
      <c r="E40" s="19" t="s">
        <v>88</v>
      </c>
      <c r="F40" s="16">
        <f>F32*F34*( F38 +F39 )/2*1/F36*F37</f>
        <v>0.15231727006159962</v>
      </c>
    </row>
    <row r="41" spans="2:9" ht="14.5" customHeight="1" x14ac:dyDescent="0.35">
      <c r="D41" s="21"/>
    </row>
    <row r="42" spans="2:9" ht="14.5" customHeight="1" x14ac:dyDescent="0.35">
      <c r="B42" s="133" t="s">
        <v>363</v>
      </c>
      <c r="C42" s="133"/>
      <c r="D42" s="133"/>
      <c r="E42" s="133"/>
      <c r="F42" s="133"/>
    </row>
    <row r="43" spans="2:9" ht="14.5" customHeight="1" x14ac:dyDescent="0.35">
      <c r="F43" s="16"/>
    </row>
    <row r="44" spans="2:9" ht="14.5" customHeight="1" x14ac:dyDescent="0.35">
      <c r="B44" s="131" t="s">
        <v>148</v>
      </c>
      <c r="C44" s="131"/>
      <c r="D44" s="12"/>
      <c r="E44" s="79" t="s">
        <v>70</v>
      </c>
      <c r="F44" s="3">
        <v>1</v>
      </c>
      <c r="G44" s="132" t="s">
        <v>101</v>
      </c>
      <c r="H44" s="132"/>
    </row>
    <row r="45" spans="2:9" ht="14.5" customHeight="1" x14ac:dyDescent="0.35">
      <c r="B45" s="131" t="s">
        <v>149</v>
      </c>
      <c r="C45" s="131"/>
      <c r="D45" s="35"/>
      <c r="E45" s="78" t="s">
        <v>559</v>
      </c>
      <c r="F45" s="18" t="s">
        <v>135</v>
      </c>
    </row>
    <row r="46" spans="2:9" ht="14.5" customHeight="1" x14ac:dyDescent="0.35">
      <c r="B46" s="131" t="s">
        <v>160</v>
      </c>
      <c r="C46" s="131"/>
      <c r="D46" s="21" t="s">
        <v>161</v>
      </c>
      <c r="E46" s="19" t="s">
        <v>99</v>
      </c>
      <c r="F46" s="27">
        <v>7.5</v>
      </c>
      <c r="G46" s="132" t="s">
        <v>84</v>
      </c>
      <c r="H46" s="132"/>
      <c r="I46" s="26" t="str">
        <f>IF(F45=prms!$AA$5,prms!$AC$5, IF(F45=prms!$AA$6,prms!$AC$6, IF(F45=prms!$AA$7,prms!$AC$7, IF(F45=prms!$AA$8,prms!$AC$8,IF(F45=prms!$AA$9,prms!$AC$9,1)))))</f>
        <v>5 - 10</v>
      </c>
    </row>
    <row r="47" spans="2:9" ht="14.5" customHeight="1" x14ac:dyDescent="0.35">
      <c r="B47" s="131" t="s">
        <v>143</v>
      </c>
      <c r="C47" s="131"/>
      <c r="D47" s="21" t="s">
        <v>164</v>
      </c>
      <c r="E47" s="21" t="s">
        <v>144</v>
      </c>
      <c r="F47" s="25">
        <v>0.15</v>
      </c>
      <c r="G47" s="132" t="s">
        <v>84</v>
      </c>
      <c r="H47" s="132"/>
      <c r="I47" s="26" t="str">
        <f>IF(F45=prms!$AA$5,prms!$AD$5, IF(F45=prms!$AA$6,prms!$AD$6, IF(F45=prms!$AA$7,prms!$AD$7, IF(F45=prms!$AA$8,prms!$AD$8,IF(F45=prms!$AA$9,prms!$AD$9,1)))))</f>
        <v>0.2 - 0.1</v>
      </c>
    </row>
    <row r="48" spans="2:9" ht="14.5" customHeight="1" x14ac:dyDescent="0.35">
      <c r="B48" s="131" t="s">
        <v>151</v>
      </c>
      <c r="C48" s="131"/>
      <c r="D48" s="21" t="s">
        <v>163</v>
      </c>
      <c r="E48" s="19" t="s">
        <v>152</v>
      </c>
      <c r="F48" s="28">
        <v>10</v>
      </c>
    </row>
    <row r="49" spans="2:9" ht="14.5" customHeight="1" x14ac:dyDescent="0.35">
      <c r="B49" s="131" t="s">
        <v>159</v>
      </c>
      <c r="C49" s="131"/>
      <c r="D49" s="21" t="s">
        <v>165</v>
      </c>
      <c r="E49" s="19" t="s">
        <v>70</v>
      </c>
      <c r="F49" s="27">
        <v>1.7</v>
      </c>
    </row>
    <row r="50" spans="2:9" ht="14.5" customHeight="1" x14ac:dyDescent="0.35">
      <c r="B50" s="131" t="s">
        <v>96</v>
      </c>
      <c r="C50" s="131"/>
      <c r="D50" s="21" t="s">
        <v>308</v>
      </c>
      <c r="E50" s="19" t="s">
        <v>88</v>
      </c>
      <c r="F50" s="16">
        <f>F49*F48*F47/F46</f>
        <v>0.33999999999999997</v>
      </c>
    </row>
    <row r="51" spans="2:9" ht="14.5" customHeight="1" x14ac:dyDescent="0.35">
      <c r="D51" s="21"/>
      <c r="F51" s="16"/>
    </row>
    <row r="52" spans="2:9" ht="14.5" customHeight="1" x14ac:dyDescent="0.35">
      <c r="B52" s="131" t="s">
        <v>166</v>
      </c>
      <c r="C52" s="131"/>
      <c r="D52" s="35"/>
      <c r="E52" s="79" t="s">
        <v>70</v>
      </c>
      <c r="F52" s="3">
        <v>1</v>
      </c>
      <c r="G52" s="132" t="s">
        <v>101</v>
      </c>
      <c r="H52" s="132"/>
    </row>
    <row r="53" spans="2:9" ht="14.5" customHeight="1" x14ac:dyDescent="0.35">
      <c r="B53" s="131" t="s">
        <v>167</v>
      </c>
      <c r="C53" s="131"/>
      <c r="D53" s="35"/>
      <c r="E53" s="78" t="s">
        <v>559</v>
      </c>
      <c r="F53" s="18" t="s">
        <v>136</v>
      </c>
    </row>
    <row r="54" spans="2:9" ht="14.5" customHeight="1" x14ac:dyDescent="0.35">
      <c r="B54" s="131" t="s">
        <v>160</v>
      </c>
      <c r="C54" s="131"/>
      <c r="D54" s="21" t="s">
        <v>168</v>
      </c>
      <c r="E54" s="19" t="s">
        <v>99</v>
      </c>
      <c r="F54" s="27">
        <v>12.5</v>
      </c>
      <c r="G54" s="132" t="s">
        <v>84</v>
      </c>
      <c r="H54" s="132"/>
      <c r="I54" s="26" t="str">
        <f>IF(F53=prms!$AA$5,prms!$AC$5, IF(F53=prms!$AA$6,prms!$AC$6, IF(F53=prms!$AA$7,prms!$AC$7, IF(F53=prms!$AA$8,prms!$AC$8,IF(F53=prms!$AA$9,prms!$AC$9,1)))))</f>
        <v>10 - 15</v>
      </c>
    </row>
    <row r="55" spans="2:9" ht="14.5" customHeight="1" x14ac:dyDescent="0.35">
      <c r="B55" s="131" t="s">
        <v>143</v>
      </c>
      <c r="C55" s="131"/>
      <c r="D55" s="21" t="s">
        <v>169</v>
      </c>
      <c r="E55" s="21" t="s">
        <v>144</v>
      </c>
      <c r="F55" s="25">
        <v>0.25</v>
      </c>
      <c r="G55" s="132" t="s">
        <v>84</v>
      </c>
      <c r="H55" s="132"/>
      <c r="I55" s="26" t="str">
        <f>IF(F53=prms!$AA$5,prms!$AD$5, IF(F53=prms!$AA$6,prms!$AD$6, IF(F53=prms!$AA$7,prms!$AD$7, IF(F53=prms!$AA$8,prms!$AD$8,IF(F53=prms!$AA$9,prms!$AD$9,1)))))</f>
        <v>0.3 - 0.2</v>
      </c>
    </row>
    <row r="56" spans="2:9" ht="14.5" customHeight="1" x14ac:dyDescent="0.35">
      <c r="B56" s="131" t="s">
        <v>151</v>
      </c>
      <c r="C56" s="131"/>
      <c r="D56" s="21" t="s">
        <v>170</v>
      </c>
      <c r="E56" s="19" t="s">
        <v>152</v>
      </c>
      <c r="F56" s="28">
        <v>10</v>
      </c>
    </row>
    <row r="57" spans="2:9" ht="14.5" customHeight="1" x14ac:dyDescent="0.35">
      <c r="B57" s="131" t="s">
        <v>159</v>
      </c>
      <c r="C57" s="131"/>
      <c r="D57" s="21" t="s">
        <v>171</v>
      </c>
      <c r="E57" s="19" t="s">
        <v>70</v>
      </c>
      <c r="F57" s="27">
        <v>1.7</v>
      </c>
    </row>
    <row r="58" spans="2:9" ht="14.5" customHeight="1" x14ac:dyDescent="0.35">
      <c r="B58" s="131" t="s">
        <v>96</v>
      </c>
      <c r="C58" s="131"/>
      <c r="D58" s="21" t="s">
        <v>309</v>
      </c>
      <c r="E58" s="19" t="s">
        <v>88</v>
      </c>
      <c r="F58" s="16">
        <f>F57*F56*F55/F54</f>
        <v>0.34</v>
      </c>
    </row>
    <row r="59" spans="2:9" ht="14.5" customHeight="1" x14ac:dyDescent="0.35">
      <c r="D59" s="21"/>
      <c r="F59" s="16"/>
    </row>
    <row r="60" spans="2:9" ht="14.5" customHeight="1" x14ac:dyDescent="0.35">
      <c r="B60" s="131" t="s">
        <v>172</v>
      </c>
      <c r="C60" s="131"/>
      <c r="D60" s="35"/>
      <c r="E60" s="79" t="s">
        <v>70</v>
      </c>
      <c r="F60" s="3">
        <v>1</v>
      </c>
      <c r="G60" s="132" t="s">
        <v>101</v>
      </c>
      <c r="H60" s="132"/>
    </row>
    <row r="61" spans="2:9" ht="14.5" customHeight="1" x14ac:dyDescent="0.35">
      <c r="B61" s="131" t="s">
        <v>150</v>
      </c>
      <c r="C61" s="131"/>
      <c r="D61" s="35"/>
      <c r="E61" s="78" t="s">
        <v>559</v>
      </c>
      <c r="F61" s="18" t="s">
        <v>137</v>
      </c>
    </row>
    <row r="62" spans="2:9" ht="14.5" customHeight="1" x14ac:dyDescent="0.35">
      <c r="B62" s="131" t="s">
        <v>160</v>
      </c>
      <c r="C62" s="131"/>
      <c r="D62" s="21" t="s">
        <v>173</v>
      </c>
      <c r="E62" s="19" t="s">
        <v>99</v>
      </c>
      <c r="F62" s="27">
        <v>17.5</v>
      </c>
      <c r="G62" s="132" t="s">
        <v>84</v>
      </c>
      <c r="H62" s="132"/>
      <c r="I62" s="26" t="str">
        <f>IF(F61=prms!$AA$5,prms!$AC$5, IF(F61=prms!$AA$6,prms!$AC$6, IF(F61=prms!$AA$7,prms!$AC$7, IF(F61=prms!$AA$8,prms!$AC$8,IF(F61=prms!$AA$9,prms!$AC$9,1)))))</f>
        <v>15 - 20</v>
      </c>
    </row>
    <row r="63" spans="2:9" ht="14.5" customHeight="1" x14ac:dyDescent="0.35">
      <c r="B63" s="131" t="s">
        <v>143</v>
      </c>
      <c r="C63" s="131"/>
      <c r="D63" s="21" t="s">
        <v>162</v>
      </c>
      <c r="E63" s="21" t="s">
        <v>144</v>
      </c>
      <c r="F63" s="25">
        <v>0.35</v>
      </c>
      <c r="G63" s="132" t="s">
        <v>84</v>
      </c>
      <c r="H63" s="132"/>
      <c r="I63" s="26" t="str">
        <f>IF(F61=prms!$AA$5,prms!$AD$5, IF(F61=prms!$AA$6,prms!$AD$6, IF(F61=prms!$AA$7,prms!$AD$7, IF(F61=prms!$AA$8,prms!$AD$8,IF(F61=prms!$AA$9,prms!$AD$9,1)))))</f>
        <v>0.4 - 0.3</v>
      </c>
    </row>
    <row r="64" spans="2:9" ht="14.5" customHeight="1" x14ac:dyDescent="0.35">
      <c r="B64" s="131" t="s">
        <v>151</v>
      </c>
      <c r="C64" s="131"/>
      <c r="D64" s="21" t="s">
        <v>174</v>
      </c>
      <c r="E64" s="19" t="s">
        <v>152</v>
      </c>
      <c r="F64" s="28">
        <v>10</v>
      </c>
    </row>
    <row r="65" spans="2:6" ht="14.5" customHeight="1" x14ac:dyDescent="0.35">
      <c r="B65" s="131" t="s">
        <v>159</v>
      </c>
      <c r="C65" s="131"/>
      <c r="D65" s="21" t="s">
        <v>175</v>
      </c>
      <c r="E65" s="19" t="s">
        <v>70</v>
      </c>
      <c r="F65" s="27">
        <v>1.7</v>
      </c>
    </row>
    <row r="66" spans="2:6" ht="14.5" customHeight="1" x14ac:dyDescent="0.35">
      <c r="B66" s="131" t="s">
        <v>96</v>
      </c>
      <c r="C66" s="131"/>
      <c r="D66" s="21" t="s">
        <v>310</v>
      </c>
      <c r="E66" s="19" t="s">
        <v>88</v>
      </c>
      <c r="F66" s="16">
        <f>F65*F64*F63/F62</f>
        <v>0.33999999999999997</v>
      </c>
    </row>
    <row r="67" spans="2:6" ht="14.5" customHeight="1" x14ac:dyDescent="0.35">
      <c r="F67" s="16"/>
    </row>
    <row r="68" spans="2:6" ht="14.5" customHeight="1" x14ac:dyDescent="0.35">
      <c r="B68" s="125" t="s">
        <v>366</v>
      </c>
      <c r="C68" s="125"/>
      <c r="D68" s="125"/>
      <c r="E68" s="125"/>
      <c r="F68" s="125"/>
    </row>
    <row r="70" spans="2:6" ht="14.5" customHeight="1" x14ac:dyDescent="0.35">
      <c r="B70" s="131" t="s">
        <v>143</v>
      </c>
      <c r="C70" s="131"/>
      <c r="D70" s="19" t="s">
        <v>374</v>
      </c>
      <c r="E70" s="19" t="s">
        <v>98</v>
      </c>
      <c r="F70" s="24">
        <f>F27*F14</f>
        <v>925.39373977967318</v>
      </c>
    </row>
    <row r="71" spans="2:6" ht="14.5" customHeight="1" x14ac:dyDescent="0.35">
      <c r="B71" s="131" t="s">
        <v>132</v>
      </c>
      <c r="C71" s="131"/>
      <c r="D71" s="19" t="s">
        <v>133</v>
      </c>
      <c r="E71" s="19" t="s">
        <v>134</v>
      </c>
      <c r="F71" s="25">
        <v>2.6</v>
      </c>
    </row>
    <row r="72" spans="2:6" ht="14.5" customHeight="1" x14ac:dyDescent="0.35">
      <c r="B72" s="131" t="s">
        <v>565</v>
      </c>
      <c r="C72" s="131"/>
      <c r="D72" s="19" t="s">
        <v>130</v>
      </c>
      <c r="E72" s="19" t="s">
        <v>131</v>
      </c>
      <c r="F72" s="24">
        <f>F70*F71</f>
        <v>2406.0237234271503</v>
      </c>
    </row>
    <row r="73" spans="2:6" ht="14.5" customHeight="1" x14ac:dyDescent="0.35">
      <c r="E73" s="76" t="s">
        <v>558</v>
      </c>
      <c r="F73" s="74">
        <f>F72/1000</f>
        <v>2.4060237234271504</v>
      </c>
    </row>
    <row r="74" spans="2:6" s="76" customFormat="1" ht="14.5" customHeight="1" x14ac:dyDescent="0.35"/>
    <row r="75" spans="2:6" s="76" customFormat="1" ht="14.5" customHeight="1" x14ac:dyDescent="0.35">
      <c r="B75" s="125" t="s">
        <v>283</v>
      </c>
      <c r="C75" s="125"/>
      <c r="D75" s="125"/>
      <c r="E75" s="125"/>
      <c r="F75" s="125"/>
    </row>
    <row r="76" spans="2:6" s="76" customFormat="1" ht="14.5" customHeight="1" x14ac:dyDescent="0.35"/>
    <row r="77" spans="2:6" ht="14.5" customHeight="1" x14ac:dyDescent="0.35">
      <c r="B77" s="131" t="s">
        <v>361</v>
      </c>
      <c r="C77" s="131"/>
      <c r="E77" s="19" t="s">
        <v>98</v>
      </c>
      <c r="F77" s="24">
        <f>F40*F4*F8*F9</f>
        <v>1370.8554305543967</v>
      </c>
    </row>
    <row r="78" spans="2:6" ht="14.5" customHeight="1" x14ac:dyDescent="0.35">
      <c r="B78" s="131" t="s">
        <v>362</v>
      </c>
      <c r="C78" s="131"/>
      <c r="E78" s="76" t="s">
        <v>70</v>
      </c>
      <c r="F78" s="28">
        <v>8</v>
      </c>
    </row>
    <row r="79" spans="2:6" ht="14.5" customHeight="1" x14ac:dyDescent="0.35">
      <c r="F79" s="17"/>
    </row>
    <row r="80" spans="2:6" ht="14.5" customHeight="1" x14ac:dyDescent="0.35">
      <c r="B80" s="131" t="s">
        <v>143</v>
      </c>
      <c r="C80" s="131"/>
      <c r="D80" s="19" t="s">
        <v>338</v>
      </c>
      <c r="E80" s="19" t="s">
        <v>98</v>
      </c>
      <c r="F80" s="24">
        <f>F77*F78</f>
        <v>10966.843444435173</v>
      </c>
    </row>
    <row r="81" spans="2:6" ht="14.5" customHeight="1" x14ac:dyDescent="0.35">
      <c r="B81" s="131" t="s">
        <v>132</v>
      </c>
      <c r="C81" s="131"/>
      <c r="D81" s="19" t="s">
        <v>133</v>
      </c>
      <c r="E81" s="19" t="s">
        <v>134</v>
      </c>
      <c r="F81" s="25">
        <v>2.6</v>
      </c>
    </row>
    <row r="82" spans="2:6" ht="14.5" customHeight="1" x14ac:dyDescent="0.35">
      <c r="B82" s="131" t="s">
        <v>565</v>
      </c>
      <c r="C82" s="131"/>
      <c r="D82" s="19" t="s">
        <v>130</v>
      </c>
      <c r="E82" s="19" t="s">
        <v>131</v>
      </c>
      <c r="F82" s="24">
        <f>F80*F81</f>
        <v>28513.792955531451</v>
      </c>
    </row>
    <row r="83" spans="2:6" ht="14.5" customHeight="1" x14ac:dyDescent="0.35">
      <c r="E83" s="76" t="s">
        <v>558</v>
      </c>
      <c r="F83" s="74">
        <f>F82/1000</f>
        <v>28.51379295553145</v>
      </c>
    </row>
    <row r="84" spans="2:6" s="76" customFormat="1" x14ac:dyDescent="0.35"/>
    <row r="85" spans="2:6" s="76" customFormat="1" ht="14.5" customHeight="1" x14ac:dyDescent="0.35">
      <c r="B85" s="125" t="s">
        <v>363</v>
      </c>
      <c r="C85" s="125"/>
      <c r="D85" s="125"/>
      <c r="E85" s="125"/>
      <c r="F85" s="125"/>
    </row>
    <row r="86" spans="2:6" s="76" customFormat="1" ht="14.5" customHeight="1" x14ac:dyDescent="0.35"/>
    <row r="87" spans="2:6" ht="14.5" customHeight="1" x14ac:dyDescent="0.35">
      <c r="B87" s="131" t="s">
        <v>412</v>
      </c>
      <c r="C87" s="131"/>
      <c r="D87" s="21"/>
      <c r="E87" s="76" t="s">
        <v>70</v>
      </c>
      <c r="F87" s="17">
        <f>F44*F46/($F$44*$F$46+$F$52*$F$54+$F$60*$F$62)</f>
        <v>0.2</v>
      </c>
    </row>
    <row r="88" spans="2:6" ht="14.5" customHeight="1" x14ac:dyDescent="0.35">
      <c r="B88" s="131" t="s">
        <v>413</v>
      </c>
      <c r="C88" s="131"/>
      <c r="D88" s="21"/>
      <c r="E88" s="76" t="s">
        <v>70</v>
      </c>
      <c r="F88" s="17">
        <f>F52*F54/($F$44*$F$46+$F$52*$F$54+$F$60*$F$62)</f>
        <v>0.33333333333333331</v>
      </c>
    </row>
    <row r="89" spans="2:6" ht="14.5" customHeight="1" x14ac:dyDescent="0.35">
      <c r="B89" s="131" t="s">
        <v>414</v>
      </c>
      <c r="C89" s="131"/>
      <c r="D89" s="21"/>
      <c r="E89" s="76" t="s">
        <v>70</v>
      </c>
      <c r="F89" s="17">
        <f>F60*F62/($F$44*$F$46+$F$52*$F$54+$F$60*$F$62)</f>
        <v>0.46666666666666667</v>
      </c>
    </row>
    <row r="90" spans="2:6" ht="14.5" customHeight="1" x14ac:dyDescent="0.35">
      <c r="D90" s="21"/>
    </row>
    <row r="91" spans="2:6" ht="14.5" customHeight="1" x14ac:dyDescent="0.35">
      <c r="B91" s="131" t="s">
        <v>176</v>
      </c>
      <c r="C91" s="131"/>
      <c r="D91" s="21"/>
      <c r="E91" s="19" t="s">
        <v>99</v>
      </c>
      <c r="F91" s="24">
        <f>F87*$F$14</f>
        <v>1800</v>
      </c>
    </row>
    <row r="92" spans="2:6" ht="14.5" customHeight="1" x14ac:dyDescent="0.35">
      <c r="B92" s="131" t="s">
        <v>177</v>
      </c>
      <c r="C92" s="131"/>
      <c r="D92" s="21"/>
      <c r="E92" s="19" t="s">
        <v>99</v>
      </c>
      <c r="F92" s="24">
        <f>F88*$F$14</f>
        <v>3000</v>
      </c>
    </row>
    <row r="93" spans="2:6" ht="14.5" customHeight="1" x14ac:dyDescent="0.35">
      <c r="B93" s="131" t="s">
        <v>178</v>
      </c>
      <c r="C93" s="131"/>
      <c r="D93" s="21"/>
      <c r="E93" s="19" t="s">
        <v>99</v>
      </c>
      <c r="F93" s="24">
        <f>F89*$F$14</f>
        <v>4200</v>
      </c>
    </row>
    <row r="94" spans="2:6" ht="14.5" customHeight="1" x14ac:dyDescent="0.35">
      <c r="D94" s="21"/>
    </row>
    <row r="95" spans="2:6" ht="14.5" customHeight="1" x14ac:dyDescent="0.35">
      <c r="B95" s="131" t="s">
        <v>179</v>
      </c>
      <c r="C95" s="131"/>
      <c r="D95" s="21" t="s">
        <v>182</v>
      </c>
      <c r="E95" s="19" t="s">
        <v>98</v>
      </c>
      <c r="F95" s="24">
        <f>F50*F91</f>
        <v>612</v>
      </c>
    </row>
    <row r="96" spans="2:6" ht="14.5" customHeight="1" x14ac:dyDescent="0.35">
      <c r="B96" s="131" t="s">
        <v>180</v>
      </c>
      <c r="C96" s="131"/>
      <c r="D96" s="21" t="s">
        <v>183</v>
      </c>
      <c r="E96" s="19" t="s">
        <v>98</v>
      </c>
      <c r="F96" s="24">
        <f>F58*F92</f>
        <v>1020.0000000000001</v>
      </c>
    </row>
    <row r="97" spans="2:6" ht="14.5" customHeight="1" x14ac:dyDescent="0.35">
      <c r="B97" s="131" t="s">
        <v>181</v>
      </c>
      <c r="C97" s="131"/>
      <c r="D97" s="21" t="s">
        <v>184</v>
      </c>
      <c r="E97" s="19" t="s">
        <v>98</v>
      </c>
      <c r="F97" s="24">
        <f>F66*F93</f>
        <v>1427.9999999999998</v>
      </c>
    </row>
    <row r="98" spans="2:6" ht="14.5" customHeight="1" x14ac:dyDescent="0.35">
      <c r="D98" s="21"/>
    </row>
    <row r="99" spans="2:6" ht="14.5" customHeight="1" x14ac:dyDescent="0.35">
      <c r="B99" s="131" t="s">
        <v>143</v>
      </c>
      <c r="C99" s="131"/>
      <c r="D99" s="21" t="s">
        <v>254</v>
      </c>
      <c r="E99" s="19" t="s">
        <v>98</v>
      </c>
      <c r="F99" s="24">
        <f>SUM(F95:F97)</f>
        <v>3060</v>
      </c>
    </row>
    <row r="100" spans="2:6" ht="14.5" customHeight="1" x14ac:dyDescent="0.35">
      <c r="B100" s="131" t="s">
        <v>132</v>
      </c>
      <c r="C100" s="131"/>
      <c r="D100" s="21" t="s">
        <v>133</v>
      </c>
      <c r="E100" s="19" t="s">
        <v>134</v>
      </c>
      <c r="F100" s="25">
        <v>2.6</v>
      </c>
    </row>
    <row r="101" spans="2:6" ht="14.5" customHeight="1" x14ac:dyDescent="0.35">
      <c r="B101" s="131" t="s">
        <v>565</v>
      </c>
      <c r="C101" s="131"/>
      <c r="D101" s="21" t="s">
        <v>130</v>
      </c>
      <c r="E101" s="19" t="s">
        <v>131</v>
      </c>
      <c r="F101" s="24">
        <f>F99*F100</f>
        <v>7956</v>
      </c>
    </row>
    <row r="102" spans="2:6" ht="14.5" customHeight="1" x14ac:dyDescent="0.35">
      <c r="E102" s="76" t="s">
        <v>558</v>
      </c>
      <c r="F102" s="74">
        <f>F101/1000</f>
        <v>7.9560000000000004</v>
      </c>
    </row>
    <row r="104" spans="2:6" ht="14.5" customHeight="1" x14ac:dyDescent="0.35">
      <c r="B104" s="125" t="s">
        <v>557</v>
      </c>
      <c r="C104" s="125"/>
      <c r="D104" s="125"/>
      <c r="E104" s="125"/>
      <c r="F104" s="125"/>
    </row>
    <row r="105" spans="2:6" ht="14.5" customHeight="1" x14ac:dyDescent="0.35">
      <c r="B105" s="76"/>
      <c r="C105" s="76"/>
      <c r="D105" s="76"/>
      <c r="E105" s="76"/>
      <c r="F105" s="76"/>
    </row>
    <row r="106" spans="2:6" ht="14.5" customHeight="1" x14ac:dyDescent="0.35">
      <c r="B106" s="131" t="s">
        <v>129</v>
      </c>
      <c r="C106" s="131"/>
      <c r="D106" s="77" t="s">
        <v>130</v>
      </c>
      <c r="E106" s="76" t="s">
        <v>131</v>
      </c>
      <c r="F106" s="24">
        <f>F72+F82+F101</f>
        <v>38875.816678958603</v>
      </c>
    </row>
    <row r="107" spans="2:6" ht="14.5" customHeight="1" x14ac:dyDescent="0.35">
      <c r="B107" s="76"/>
      <c r="C107" s="76"/>
      <c r="D107" s="76"/>
      <c r="E107" s="76" t="s">
        <v>558</v>
      </c>
      <c r="F107" s="75">
        <f>F106/1000</f>
        <v>38.8758166789586</v>
      </c>
    </row>
  </sheetData>
  <mergeCells count="97">
    <mergeCell ref="B96:C96"/>
    <mergeCell ref="B97:C97"/>
    <mergeCell ref="B99:C99"/>
    <mergeCell ref="B100:C100"/>
    <mergeCell ref="B101:C101"/>
    <mergeCell ref="B91:C91"/>
    <mergeCell ref="B92:C92"/>
    <mergeCell ref="B57:C57"/>
    <mergeCell ref="B58:C58"/>
    <mergeCell ref="B60:C60"/>
    <mergeCell ref="B77:C77"/>
    <mergeCell ref="B68:F68"/>
    <mergeCell ref="B70:C70"/>
    <mergeCell ref="B75:F75"/>
    <mergeCell ref="B85:F85"/>
    <mergeCell ref="B93:C93"/>
    <mergeCell ref="B95:C95"/>
    <mergeCell ref="B63:C63"/>
    <mergeCell ref="G63:H63"/>
    <mergeCell ref="B64:C64"/>
    <mergeCell ref="B65:C65"/>
    <mergeCell ref="B66:C66"/>
    <mergeCell ref="B87:C87"/>
    <mergeCell ref="B82:C82"/>
    <mergeCell ref="B71:C71"/>
    <mergeCell ref="B72:C72"/>
    <mergeCell ref="B78:C78"/>
    <mergeCell ref="B80:C80"/>
    <mergeCell ref="B81:C81"/>
    <mergeCell ref="B88:C88"/>
    <mergeCell ref="B89:C89"/>
    <mergeCell ref="G60:H60"/>
    <mergeCell ref="B61:C61"/>
    <mergeCell ref="B62:C62"/>
    <mergeCell ref="G62:H62"/>
    <mergeCell ref="G44:H44"/>
    <mergeCell ref="B45:C45"/>
    <mergeCell ref="G46:H46"/>
    <mergeCell ref="B54:C54"/>
    <mergeCell ref="G54:H54"/>
    <mergeCell ref="B55:C55"/>
    <mergeCell ref="G55:H55"/>
    <mergeCell ref="B44:C44"/>
    <mergeCell ref="B48:C48"/>
    <mergeCell ref="G47:H47"/>
    <mergeCell ref="B49:C49"/>
    <mergeCell ref="B50:C50"/>
    <mergeCell ref="B29:F29"/>
    <mergeCell ref="B31:C31"/>
    <mergeCell ref="B32:C32"/>
    <mergeCell ref="G34:I34"/>
    <mergeCell ref="G35:H35"/>
    <mergeCell ref="B34:C34"/>
    <mergeCell ref="B35:C35"/>
    <mergeCell ref="B26:C26"/>
    <mergeCell ref="B27:C27"/>
    <mergeCell ref="B23:C23"/>
    <mergeCell ref="B24:C24"/>
    <mergeCell ref="G24:H24"/>
    <mergeCell ref="B25:C25"/>
    <mergeCell ref="G52:H52"/>
    <mergeCell ref="B46:C46"/>
    <mergeCell ref="B47:C47"/>
    <mergeCell ref="B53:C53"/>
    <mergeCell ref="G32:H32"/>
    <mergeCell ref="B33:C33"/>
    <mergeCell ref="G33:H33"/>
    <mergeCell ref="G37:H37"/>
    <mergeCell ref="B42:F42"/>
    <mergeCell ref="B38:C38"/>
    <mergeCell ref="B39:C39"/>
    <mergeCell ref="B40:C40"/>
    <mergeCell ref="B36:C36"/>
    <mergeCell ref="B37:C37"/>
    <mergeCell ref="G21:I21"/>
    <mergeCell ref="B22:C22"/>
    <mergeCell ref="G22:H22"/>
    <mergeCell ref="G19:H19"/>
    <mergeCell ref="B20:C20"/>
    <mergeCell ref="G20:H20"/>
    <mergeCell ref="B19:C19"/>
    <mergeCell ref="B104:F104"/>
    <mergeCell ref="B106:C106"/>
    <mergeCell ref="B10:C10"/>
    <mergeCell ref="B2:F2"/>
    <mergeCell ref="B4:C4"/>
    <mergeCell ref="B6:F6"/>
    <mergeCell ref="B8:C8"/>
    <mergeCell ref="B9:C9"/>
    <mergeCell ref="B56:C56"/>
    <mergeCell ref="B11:C11"/>
    <mergeCell ref="B12:C12"/>
    <mergeCell ref="B21:C21"/>
    <mergeCell ref="B14:C14"/>
    <mergeCell ref="B16:F16"/>
    <mergeCell ref="B18:C18"/>
    <mergeCell ref="B52:C5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958A3A7-6BE2-461E-AA4F-B222D38F4C03}">
          <x14:formula1>
            <xm:f>prms!$B$5:$B$29</xm:f>
          </x14:formula1>
          <xm:sqref>F10</xm:sqref>
        </x14:dataValidation>
        <x14:dataValidation type="list" allowBlank="1" showInputMessage="1" showErrorMessage="1" xr:uid="{08674101-E303-4306-92CD-BCDCF40C770A}">
          <x14:formula1>
            <xm:f>prms!$M$5:$M$7</xm:f>
          </x14:formula1>
          <xm:sqref>F18</xm:sqref>
        </x14:dataValidation>
        <x14:dataValidation type="list" allowBlank="1" showInputMessage="1" showErrorMessage="1" xr:uid="{28558484-F8A3-4C8C-95DD-B5DF2F3CF280}">
          <x14:formula1>
            <xm:f>prms!$Q$5:$Q$10</xm:f>
          </x14:formula1>
          <xm:sqref>F31</xm:sqref>
        </x14:dataValidation>
        <x14:dataValidation type="list" allowBlank="1" showInputMessage="1" showErrorMessage="1" xr:uid="{99E9DDB3-6395-4B4D-B15F-306AFDA57517}">
          <x14:formula1>
            <xm:f>prms!$AA$5:$AA$9</xm:f>
          </x14:formula1>
          <xm:sqref>F45 F53 F61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666A-DEF9-4A59-994E-692636923DA6}">
  <dimension ref="B2:I107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19"/>
    <col min="2" max="3" width="15.6328125" style="19" customWidth="1"/>
    <col min="4" max="4" width="12.6328125" style="19" customWidth="1"/>
    <col min="5" max="5" width="12.6328125" style="19"/>
    <col min="6" max="6" width="20.6328125" style="19" customWidth="1"/>
    <col min="7" max="9" width="12.6328125" style="19" customWidth="1"/>
    <col min="10" max="16384" width="12.6328125" style="19"/>
  </cols>
  <sheetData>
    <row r="2" spans="2:6" ht="14.5" customHeight="1" x14ac:dyDescent="0.35">
      <c r="B2" s="133" t="s">
        <v>30</v>
      </c>
      <c r="C2" s="133"/>
      <c r="D2" s="133"/>
      <c r="E2" s="133"/>
      <c r="F2" s="133"/>
    </row>
    <row r="3" spans="2:6" ht="14.5" customHeight="1" x14ac:dyDescent="0.35">
      <c r="B3" s="8"/>
      <c r="C3" s="8"/>
      <c r="D3" s="8"/>
      <c r="E3" s="8"/>
      <c r="F3" s="8"/>
    </row>
    <row r="4" spans="2:6" ht="14.5" customHeight="1" x14ac:dyDescent="0.35">
      <c r="B4" s="131" t="s">
        <v>1</v>
      </c>
      <c r="C4" s="131"/>
      <c r="D4" s="12"/>
      <c r="E4" s="19" t="s">
        <v>0</v>
      </c>
      <c r="F4" s="19">
        <v>1000</v>
      </c>
    </row>
    <row r="6" spans="2:6" ht="14.5" customHeight="1" x14ac:dyDescent="0.35">
      <c r="B6" s="133" t="s">
        <v>367</v>
      </c>
      <c r="C6" s="133"/>
      <c r="D6" s="133"/>
      <c r="E6" s="133"/>
      <c r="F6" s="133"/>
    </row>
    <row r="7" spans="2:6" ht="14.5" customHeight="1" x14ac:dyDescent="0.35">
      <c r="B7" s="8"/>
      <c r="C7" s="8"/>
      <c r="D7" s="8"/>
      <c r="E7" s="8"/>
      <c r="F7" s="8"/>
    </row>
    <row r="8" spans="2:6" ht="14.5" customHeight="1" x14ac:dyDescent="0.35">
      <c r="B8" s="131" t="s">
        <v>368</v>
      </c>
      <c r="C8" s="131"/>
      <c r="D8" s="12"/>
      <c r="E8" s="19" t="s">
        <v>0</v>
      </c>
      <c r="F8" s="3">
        <v>16</v>
      </c>
    </row>
    <row r="9" spans="2:6" ht="14.5" customHeight="1" x14ac:dyDescent="0.35">
      <c r="B9" s="131" t="s">
        <v>377</v>
      </c>
      <c r="C9" s="131"/>
      <c r="D9" s="12"/>
      <c r="E9" s="19" t="s">
        <v>0</v>
      </c>
      <c r="F9" s="3">
        <v>0.3</v>
      </c>
    </row>
    <row r="10" spans="2:6" ht="14.5" customHeight="1" x14ac:dyDescent="0.35">
      <c r="B10" s="135" t="s">
        <v>369</v>
      </c>
      <c r="C10" s="135"/>
      <c r="D10" s="7"/>
      <c r="E10" s="22" t="s">
        <v>559</v>
      </c>
      <c r="F10" s="3" t="s">
        <v>12</v>
      </c>
    </row>
    <row r="11" spans="2:6" ht="14.5" customHeight="1" x14ac:dyDescent="0.35">
      <c r="B11" s="134" t="s">
        <v>3</v>
      </c>
      <c r="C11" s="134"/>
      <c r="D11" s="34" t="s">
        <v>380</v>
      </c>
      <c r="E11" s="21" t="s">
        <v>29</v>
      </c>
      <c r="F11" s="19">
        <f xml:space="preserve">
IF(
F10=prms!$B$5,prms!$C$5,
IF(F10=prms!$B$6,prms!$C$6,
IF(F10=prms!$B$7,prms!$C$7,
IF(F10=prms!$B$8,prms!$C$8,
IF(F10=prms!$B$9,prms!$C$9,
IF(F10=prms!$B$10,prms!$C$10,
IF(F10=prms!$B$11,prms!$C$11,
IF(F10=prms!$B$12,prms!$C$12,
IF(F10=prms!$B$13,prms!$C$13,
IF(F10=prms!$B$14,prms!$C$14,
IF(F10=prms!$B$15,prms!$C$15,
IF(F10=prms!$B$16,prms!$C$16,
IF(F10=prms!$B$17,prms!$C$17,
IF(F10=prms!$B$18,prms!$C$18,
IF(F10=prms!$B$19,prms!$C$19,
IF(F10=prms!$B$20,prms!$C$20,
IF(F10=prms!$B$21,prms!$C$21,
IF(F10=prms!$B$22,prms!$C$22,
IF(F10=prms!$B$23,prms!$C$23,
IF(F10=prms!$B$24,prms!$C$24,
IF(F10=prms!$B$25,prms!$C$25,
IF(F10=prms!$B$26,prms!$C$26,
IF(F10=prms!$B$27,prms!$C$27,
IF(F10=prms!$B$28,prms!$C$28,
IF(F10=prms!$B$29,prms!$C$29,
)))))))))))))))))))))))))</f>
        <v>1900</v>
      </c>
    </row>
    <row r="12" spans="2:6" ht="14.5" customHeight="1" x14ac:dyDescent="0.35">
      <c r="B12" s="134" t="s">
        <v>4</v>
      </c>
      <c r="C12" s="134"/>
      <c r="D12" s="34" t="s">
        <v>381</v>
      </c>
      <c r="E12" s="21" t="s">
        <v>29</v>
      </c>
      <c r="F12" s="19">
        <f xml:space="preserve">
IF(
F10=prms!$B$5,prms!$D$5,
IF(F10=prms!$B$6,prms!$D$6,
IF(F10=prms!$B$7,prms!$D$7,
IF(F10=prms!$B$8,prms!$D$8,
IF(F10=prms!$B$9,prms!$D$9,
IF(F10=prms!$B$10,prms!$D$10,
IF(F10=prms!$B$11,prms!$D$11,
IF(F10=prms!$B$12,prms!$D$12,
IF(F10=prms!$B$13,prms!$D$13,
IF(F10=prms!$B$14,prms!$D$14,
IF(F10=prms!$B$15,prms!$D$15,
IF(F10=prms!$B$16,prms!$D$16,
IF(F10=prms!$B$17,prms!$D$17,
IF(F10=prms!$B$18,prms!$D$18,
IF(F10=prms!$B$19,prms!$D$19,
IF(F10=prms!$B$20,prms!$D$20,
IF(F10=prms!$B$21,prms!$D$21,
IF(F10=prms!$B$22,prms!$D$22,
IF(F10=prms!$B$23,prms!$D$23,
IF(F10=prms!$B$24,prms!$D$24,
IF(F10=prms!$B$25,prms!$D$25,
IF(F10=prms!$B$26,prms!$D$26,
IF(F10=prms!$B$27,prms!$D$27,
IF(F10=prms!$B$28,prms!$D$28,
IF(F10=prms!$B$29,prms!$D$29)))))))))))))))))))))))))</f>
        <v>1690</v>
      </c>
    </row>
    <row r="13" spans="2:6" ht="14.5" customHeight="1" x14ac:dyDescent="0.35">
      <c r="B13" s="21"/>
      <c r="C13" s="21"/>
      <c r="D13" s="34"/>
      <c r="E13" s="21"/>
    </row>
    <row r="14" spans="2:6" ht="14.5" customHeight="1" x14ac:dyDescent="0.35">
      <c r="B14" s="134" t="s">
        <v>564</v>
      </c>
      <c r="C14" s="134"/>
      <c r="D14" s="34"/>
      <c r="E14" s="21" t="s">
        <v>99</v>
      </c>
      <c r="F14" s="19">
        <f>F4*F8*F9</f>
        <v>4800</v>
      </c>
    </row>
    <row r="15" spans="2:6" ht="14.5" customHeight="1" x14ac:dyDescent="0.35">
      <c r="B15" s="21"/>
      <c r="C15" s="21"/>
      <c r="D15" s="34"/>
      <c r="E15" s="21"/>
    </row>
    <row r="16" spans="2:6" ht="14.5" customHeight="1" x14ac:dyDescent="0.35">
      <c r="B16" s="133" t="s">
        <v>372</v>
      </c>
      <c r="C16" s="133"/>
      <c r="D16" s="133"/>
      <c r="E16" s="133"/>
      <c r="F16" s="133"/>
    </row>
    <row r="17" spans="2:9" ht="14.5" customHeight="1" x14ac:dyDescent="0.35">
      <c r="B17" s="8"/>
      <c r="C17" s="8"/>
      <c r="D17" s="8"/>
      <c r="E17" s="8"/>
      <c r="F17" s="8"/>
    </row>
    <row r="18" spans="2:9" ht="14.5" customHeight="1" x14ac:dyDescent="0.35">
      <c r="B18" s="131" t="s">
        <v>353</v>
      </c>
      <c r="C18" s="131"/>
      <c r="D18" s="35"/>
      <c r="E18" s="81" t="s">
        <v>559</v>
      </c>
      <c r="F18" s="3" t="s">
        <v>343</v>
      </c>
      <c r="G18" s="32"/>
      <c r="H18" s="32"/>
    </row>
    <row r="19" spans="2:9" ht="14.5" customHeight="1" x14ac:dyDescent="0.35">
      <c r="B19" s="131" t="s">
        <v>37</v>
      </c>
      <c r="C19" s="131"/>
      <c r="D19" s="21"/>
      <c r="E19" s="19" t="s">
        <v>38</v>
      </c>
      <c r="F19" s="3">
        <v>90</v>
      </c>
      <c r="G19" s="132" t="s">
        <v>84</v>
      </c>
      <c r="H19" s="132"/>
      <c r="I19" s="26" t="str">
        <f>IF(F18=prms!$M$5,prms!$N$5, IF('2 BASE'!F18=prms!$M$6,prms!$N$6,IF('2 BASE'!F18=prms!$M$7,prms!$N$7,1 )))</f>
        <v>66 - 131</v>
      </c>
    </row>
    <row r="20" spans="2:9" ht="14.5" customHeight="1" x14ac:dyDescent="0.35">
      <c r="B20" s="131" t="s">
        <v>349</v>
      </c>
      <c r="C20" s="131"/>
      <c r="D20" s="21"/>
      <c r="E20" s="19" t="s">
        <v>0</v>
      </c>
      <c r="F20" s="25">
        <v>3</v>
      </c>
      <c r="G20" s="132" t="s">
        <v>84</v>
      </c>
      <c r="H20" s="132"/>
      <c r="I20" s="26" t="str">
        <f>IF(F18=prms!$M$5,prms!$O$5, IF('2 BASE'!F18=prms!$M$6,prms!$O$6,IF('2 BASE'!F18=prms!$M$7,prms!$O$7,1 )))</f>
        <v>2.71 - 3.22</v>
      </c>
    </row>
    <row r="21" spans="2:9" ht="14.5" customHeight="1" x14ac:dyDescent="0.35">
      <c r="B21" s="131" t="s">
        <v>45</v>
      </c>
      <c r="C21" s="131"/>
      <c r="D21" s="21" t="s">
        <v>360</v>
      </c>
      <c r="E21" s="19" t="s">
        <v>46</v>
      </c>
      <c r="F21" s="3">
        <v>0.25</v>
      </c>
      <c r="G21" s="132" t="s">
        <v>83</v>
      </c>
      <c r="H21" s="132"/>
      <c r="I21" s="132"/>
    </row>
    <row r="22" spans="2:9" ht="14.5" customHeight="1" x14ac:dyDescent="0.35">
      <c r="B22" s="131" t="s">
        <v>209</v>
      </c>
      <c r="C22" s="131"/>
      <c r="D22" s="21" t="s">
        <v>354</v>
      </c>
      <c r="E22" s="19" t="s">
        <v>286</v>
      </c>
      <c r="F22" s="3">
        <v>5</v>
      </c>
      <c r="G22" s="132" t="s">
        <v>84</v>
      </c>
      <c r="H22" s="132"/>
      <c r="I22" s="26" t="s">
        <v>211</v>
      </c>
    </row>
    <row r="23" spans="2:9" ht="14.5" customHeight="1" x14ac:dyDescent="0.35">
      <c r="B23" s="131" t="s">
        <v>79</v>
      </c>
      <c r="C23" s="131"/>
      <c r="D23" s="21" t="s">
        <v>355</v>
      </c>
      <c r="E23" s="19" t="s">
        <v>80</v>
      </c>
      <c r="F23" s="3">
        <v>0.85</v>
      </c>
      <c r="G23" s="20"/>
      <c r="H23" s="20"/>
      <c r="I23" s="20"/>
    </row>
    <row r="24" spans="2:9" ht="14.5" customHeight="1" x14ac:dyDescent="0.35">
      <c r="B24" s="131" t="s">
        <v>81</v>
      </c>
      <c r="C24" s="131"/>
      <c r="D24" s="21" t="s">
        <v>356</v>
      </c>
      <c r="E24" s="19" t="s">
        <v>82</v>
      </c>
      <c r="F24" s="18">
        <v>0.01</v>
      </c>
      <c r="G24" s="132" t="s">
        <v>84</v>
      </c>
      <c r="H24" s="132"/>
      <c r="I24" s="26" t="s">
        <v>85</v>
      </c>
    </row>
    <row r="25" spans="2:9" ht="14.5" customHeight="1" x14ac:dyDescent="0.35">
      <c r="B25" s="131" t="s">
        <v>332</v>
      </c>
      <c r="C25" s="131"/>
      <c r="D25" s="21" t="s">
        <v>357</v>
      </c>
      <c r="E25" s="19" t="s">
        <v>70</v>
      </c>
      <c r="F25" s="17">
        <f>0.05862*EXP(0.00101*$F$12)</f>
        <v>0.32310454361028323</v>
      </c>
      <c r="G25" s="20"/>
      <c r="H25" s="20"/>
      <c r="I25" s="20"/>
    </row>
    <row r="26" spans="2:9" ht="14.5" customHeight="1" x14ac:dyDescent="0.35">
      <c r="B26" s="131" t="s">
        <v>78</v>
      </c>
      <c r="C26" s="131"/>
      <c r="D26" s="21" t="s">
        <v>358</v>
      </c>
      <c r="E26" s="19" t="s">
        <v>70</v>
      </c>
      <c r="F26" s="30">
        <f>0.00868*F22+0.15333</f>
        <v>0.19672999999999999</v>
      </c>
    </row>
    <row r="27" spans="2:9" ht="14.5" customHeight="1" x14ac:dyDescent="0.35">
      <c r="B27" s="131" t="s">
        <v>96</v>
      </c>
      <c r="C27" s="131"/>
      <c r="D27" s="21" t="s">
        <v>359</v>
      </c>
      <c r="E27" s="19" t="s">
        <v>88</v>
      </c>
      <c r="F27" s="16">
        <f>F19*F21*( F25+F26 )/2*1/F23*F24</f>
        <v>6.8801630771949257E-2</v>
      </c>
    </row>
    <row r="28" spans="2:9" ht="14.5" customHeight="1" x14ac:dyDescent="0.35">
      <c r="D28" s="21"/>
    </row>
    <row r="29" spans="2:9" ht="14.5" customHeight="1" x14ac:dyDescent="0.35">
      <c r="B29" s="133" t="s">
        <v>283</v>
      </c>
      <c r="C29" s="133"/>
      <c r="D29" s="133"/>
      <c r="E29" s="133"/>
      <c r="F29" s="133"/>
    </row>
    <row r="30" spans="2:9" ht="14.5" customHeight="1" x14ac:dyDescent="0.35">
      <c r="B30" s="8"/>
      <c r="C30" s="8"/>
      <c r="D30" s="8"/>
      <c r="E30" s="8"/>
      <c r="F30" s="8"/>
    </row>
    <row r="31" spans="2:9" ht="14.5" customHeight="1" x14ac:dyDescent="0.35">
      <c r="B31" s="131" t="s">
        <v>285</v>
      </c>
      <c r="C31" s="131"/>
      <c r="D31" s="8"/>
      <c r="E31" s="81" t="s">
        <v>559</v>
      </c>
      <c r="F31" s="33" t="s">
        <v>257</v>
      </c>
    </row>
    <row r="32" spans="2:9" ht="14.5" customHeight="1" x14ac:dyDescent="0.35">
      <c r="B32" s="131" t="s">
        <v>37</v>
      </c>
      <c r="C32" s="131"/>
      <c r="E32" s="19" t="s">
        <v>38</v>
      </c>
      <c r="F32" s="3">
        <v>70</v>
      </c>
      <c r="G32" s="132" t="s">
        <v>84</v>
      </c>
      <c r="H32" s="132"/>
      <c r="I32" s="32" t="str">
        <f>IF($F$31=prms!$Q$5,prms!$R$5,IF($F$31=prms!Q6,prms!$R$6,IF($F$31=prms!$Q$7,prms!$R$7,IF($F$31=prms!$Q$8,prms!$R$8,IF($F$31=prms!$Q$9,prms!R$9,IF($F$31=prms!$Q$10,prms!$R$10,1))))))</f>
        <v>30 - 119</v>
      </c>
    </row>
    <row r="33" spans="2:9" ht="14.5" customHeight="1" x14ac:dyDescent="0.35">
      <c r="B33" s="131" t="s">
        <v>256</v>
      </c>
      <c r="C33" s="131"/>
      <c r="E33" s="19" t="s">
        <v>0</v>
      </c>
      <c r="F33" s="25">
        <v>1.8</v>
      </c>
      <c r="G33" s="132" t="s">
        <v>84</v>
      </c>
      <c r="H33" s="132"/>
      <c r="I33" s="32" t="str">
        <f>IF($F$31=prms!$Q$5,prms!$S$5,IF($F$31=prms!$Q$6,prms!$S$6,IF($F$31=prms!$Q$7,prms!$S$7,IF($F$31=prms!$Q$8,prms!$S$8,IF($F$31=prms!$Q$9,prms!$S$9,IF($F$31=prms!$Q$10,prms!$S$10,1))))))</f>
        <v>1.20 - 2.20</v>
      </c>
    </row>
    <row r="34" spans="2:9" ht="14.5" customHeight="1" x14ac:dyDescent="0.35">
      <c r="B34" s="131" t="s">
        <v>45</v>
      </c>
      <c r="C34" s="131"/>
      <c r="D34" s="19" t="s">
        <v>330</v>
      </c>
      <c r="E34" s="19" t="s">
        <v>46</v>
      </c>
      <c r="F34" s="3">
        <v>0.25</v>
      </c>
      <c r="G34" s="132" t="s">
        <v>83</v>
      </c>
      <c r="H34" s="132"/>
      <c r="I34" s="132"/>
    </row>
    <row r="35" spans="2:9" ht="14.5" customHeight="1" x14ac:dyDescent="0.35">
      <c r="B35" s="131" t="s">
        <v>209</v>
      </c>
      <c r="C35" s="131"/>
      <c r="D35" s="19" t="s">
        <v>287</v>
      </c>
      <c r="E35" s="19" t="s">
        <v>286</v>
      </c>
      <c r="F35" s="3">
        <v>5</v>
      </c>
      <c r="G35" s="132" t="s">
        <v>84</v>
      </c>
      <c r="H35" s="132"/>
      <c r="I35" s="26" t="s">
        <v>211</v>
      </c>
    </row>
    <row r="36" spans="2:9" ht="14.5" customHeight="1" x14ac:dyDescent="0.35">
      <c r="B36" s="131" t="s">
        <v>79</v>
      </c>
      <c r="C36" s="131"/>
      <c r="D36" s="34" t="s">
        <v>288</v>
      </c>
      <c r="E36" s="19" t="s">
        <v>80</v>
      </c>
      <c r="F36" s="3">
        <v>0.85</v>
      </c>
      <c r="G36" s="20"/>
      <c r="H36" s="20"/>
      <c r="I36" s="20"/>
    </row>
    <row r="37" spans="2:9" ht="14.5" customHeight="1" x14ac:dyDescent="0.35">
      <c r="B37" s="131" t="s">
        <v>81</v>
      </c>
      <c r="C37" s="131"/>
      <c r="D37" s="11" t="s">
        <v>331</v>
      </c>
      <c r="E37" s="19" t="s">
        <v>82</v>
      </c>
      <c r="F37" s="18">
        <v>0.01</v>
      </c>
      <c r="G37" s="132" t="s">
        <v>84</v>
      </c>
      <c r="H37" s="132"/>
      <c r="I37" s="26" t="s">
        <v>85</v>
      </c>
    </row>
    <row r="38" spans="2:9" ht="14.5" customHeight="1" x14ac:dyDescent="0.35">
      <c r="B38" s="131" t="s">
        <v>332</v>
      </c>
      <c r="C38" s="131"/>
      <c r="D38" s="19" t="s">
        <v>333</v>
      </c>
      <c r="E38" s="19" t="s">
        <v>70</v>
      </c>
      <c r="F38" s="17">
        <f>0.05173*EXP(0.00142*$F$12)</f>
        <v>0.57011487979157383</v>
      </c>
      <c r="G38" s="20"/>
      <c r="H38" s="20"/>
      <c r="I38" s="20"/>
    </row>
    <row r="39" spans="2:9" ht="14.5" customHeight="1" x14ac:dyDescent="0.35">
      <c r="B39" s="131" t="s">
        <v>78</v>
      </c>
      <c r="C39" s="131"/>
      <c r="D39" s="19" t="s">
        <v>334</v>
      </c>
      <c r="E39" s="19" t="s">
        <v>70</v>
      </c>
      <c r="F39" s="30">
        <f>0.21032*F35^0.4321</f>
        <v>0.42160476628123744</v>
      </c>
    </row>
    <row r="40" spans="2:9" ht="14.5" customHeight="1" x14ac:dyDescent="0.35">
      <c r="B40" s="131" t="s">
        <v>96</v>
      </c>
      <c r="C40" s="131"/>
      <c r="D40" s="19" t="s">
        <v>335</v>
      </c>
      <c r="E40" s="19" t="s">
        <v>88</v>
      </c>
      <c r="F40" s="16">
        <f>F32*F34*( F38 +F39 )/2*1/F36*F37</f>
        <v>0.10208878709573059</v>
      </c>
    </row>
    <row r="41" spans="2:9" ht="14.5" customHeight="1" x14ac:dyDescent="0.35">
      <c r="D41" s="21"/>
    </row>
    <row r="42" spans="2:9" ht="14.5" customHeight="1" x14ac:dyDescent="0.35">
      <c r="B42" s="133" t="s">
        <v>373</v>
      </c>
      <c r="C42" s="133"/>
      <c r="D42" s="133"/>
      <c r="E42" s="133"/>
      <c r="F42" s="133"/>
    </row>
    <row r="43" spans="2:9" ht="14.5" customHeight="1" x14ac:dyDescent="0.35">
      <c r="F43" s="16"/>
    </row>
    <row r="44" spans="2:9" ht="14.5" customHeight="1" x14ac:dyDescent="0.35">
      <c r="B44" s="131" t="s">
        <v>148</v>
      </c>
      <c r="C44" s="131"/>
      <c r="D44" s="12"/>
      <c r="E44" s="79" t="s">
        <v>70</v>
      </c>
      <c r="F44" s="3">
        <v>1</v>
      </c>
      <c r="G44" s="132" t="s">
        <v>101</v>
      </c>
      <c r="H44" s="132"/>
    </row>
    <row r="45" spans="2:9" ht="14.5" customHeight="1" x14ac:dyDescent="0.35">
      <c r="B45" s="131" t="s">
        <v>149</v>
      </c>
      <c r="C45" s="131"/>
      <c r="D45" s="35"/>
      <c r="E45" s="81" t="s">
        <v>559</v>
      </c>
      <c r="F45" s="18" t="s">
        <v>135</v>
      </c>
    </row>
    <row r="46" spans="2:9" ht="14.5" customHeight="1" x14ac:dyDescent="0.35">
      <c r="B46" s="131" t="s">
        <v>160</v>
      </c>
      <c r="C46" s="131"/>
      <c r="D46" s="21" t="s">
        <v>161</v>
      </c>
      <c r="E46" s="19" t="s">
        <v>99</v>
      </c>
      <c r="F46" s="27">
        <v>7.5</v>
      </c>
      <c r="G46" s="132" t="s">
        <v>84</v>
      </c>
      <c r="H46" s="132"/>
      <c r="I46" s="26" t="str">
        <f>IF(F45=prms!$AA$5,prms!$AC$5, IF(F45=prms!$AA$6,prms!$AC$6, IF(F45=prms!$AA$7,prms!$AC$7, IF(F45=prms!$AA$8,prms!$AC$8,IF(F45=prms!$AA$9,prms!$AC$9,1)))))</f>
        <v>5 - 10</v>
      </c>
    </row>
    <row r="47" spans="2:9" ht="14.5" customHeight="1" x14ac:dyDescent="0.35">
      <c r="B47" s="131" t="s">
        <v>143</v>
      </c>
      <c r="C47" s="131"/>
      <c r="D47" s="21" t="s">
        <v>164</v>
      </c>
      <c r="E47" s="21" t="s">
        <v>144</v>
      </c>
      <c r="F47" s="25">
        <v>0.15</v>
      </c>
      <c r="G47" s="132" t="s">
        <v>84</v>
      </c>
      <c r="H47" s="132"/>
      <c r="I47" s="26" t="str">
        <f>IF(F45=prms!$AA$5,prms!$AD$5, IF(F45=prms!$AA$6,prms!$AD$6, IF(F45=prms!$AA$7,prms!$AD$7, IF(F45=prms!$AA$8,prms!$AD$8,IF(F45=prms!$AA$9,prms!$AD$9,1)))))</f>
        <v>0.2 - 0.1</v>
      </c>
    </row>
    <row r="48" spans="2:9" ht="14.5" customHeight="1" x14ac:dyDescent="0.35">
      <c r="B48" s="131" t="s">
        <v>151</v>
      </c>
      <c r="C48" s="131"/>
      <c r="D48" s="21" t="s">
        <v>163</v>
      </c>
      <c r="E48" s="19" t="s">
        <v>152</v>
      </c>
      <c r="F48" s="28">
        <v>10</v>
      </c>
    </row>
    <row r="49" spans="2:9" ht="14.5" customHeight="1" x14ac:dyDescent="0.35">
      <c r="B49" s="131" t="s">
        <v>159</v>
      </c>
      <c r="C49" s="131"/>
      <c r="D49" s="21" t="s">
        <v>165</v>
      </c>
      <c r="E49" s="19" t="s">
        <v>70</v>
      </c>
      <c r="F49" s="27">
        <v>1.7</v>
      </c>
    </row>
    <row r="50" spans="2:9" ht="14.5" customHeight="1" x14ac:dyDescent="0.35">
      <c r="B50" s="131" t="s">
        <v>96</v>
      </c>
      <c r="C50" s="131"/>
      <c r="D50" s="21" t="s">
        <v>308</v>
      </c>
      <c r="E50" s="19" t="s">
        <v>88</v>
      </c>
      <c r="F50" s="16">
        <f>F49*F48*F47/F46</f>
        <v>0.33999999999999997</v>
      </c>
    </row>
    <row r="51" spans="2:9" ht="14.5" customHeight="1" x14ac:dyDescent="0.35">
      <c r="D51" s="21"/>
      <c r="F51" s="16"/>
    </row>
    <row r="52" spans="2:9" ht="14.5" customHeight="1" x14ac:dyDescent="0.35">
      <c r="B52" s="131" t="s">
        <v>166</v>
      </c>
      <c r="C52" s="131"/>
      <c r="D52" s="35"/>
      <c r="E52" s="79" t="s">
        <v>70</v>
      </c>
      <c r="F52" s="3">
        <v>1</v>
      </c>
      <c r="G52" s="132" t="s">
        <v>101</v>
      </c>
      <c r="H52" s="132"/>
    </row>
    <row r="53" spans="2:9" ht="14.5" customHeight="1" x14ac:dyDescent="0.35">
      <c r="B53" s="131" t="s">
        <v>167</v>
      </c>
      <c r="C53" s="131"/>
      <c r="D53" s="35"/>
      <c r="E53" s="81" t="s">
        <v>559</v>
      </c>
      <c r="F53" s="18" t="s">
        <v>136</v>
      </c>
    </row>
    <row r="54" spans="2:9" ht="14.5" customHeight="1" x14ac:dyDescent="0.35">
      <c r="B54" s="131" t="s">
        <v>160</v>
      </c>
      <c r="C54" s="131"/>
      <c r="D54" s="21" t="s">
        <v>168</v>
      </c>
      <c r="E54" s="19" t="s">
        <v>99</v>
      </c>
      <c r="F54" s="27">
        <v>12.5</v>
      </c>
      <c r="G54" s="132" t="s">
        <v>84</v>
      </c>
      <c r="H54" s="132"/>
      <c r="I54" s="26" t="str">
        <f>IF(F53=prms!$AA$5,prms!$AC$5, IF(F53=prms!$AA$6,prms!$AC$6, IF(F53=prms!$AA$7,prms!$AC$7, IF(F53=prms!$AA$8,prms!$AC$8,IF(F53=prms!$AA$9,prms!$AC$9,1)))))</f>
        <v>10 - 15</v>
      </c>
    </row>
    <row r="55" spans="2:9" ht="14.5" customHeight="1" x14ac:dyDescent="0.35">
      <c r="B55" s="131" t="s">
        <v>143</v>
      </c>
      <c r="C55" s="131"/>
      <c r="D55" s="21" t="s">
        <v>169</v>
      </c>
      <c r="E55" s="21" t="s">
        <v>144</v>
      </c>
      <c r="F55" s="25">
        <v>0.25</v>
      </c>
      <c r="G55" s="132" t="s">
        <v>84</v>
      </c>
      <c r="H55" s="132"/>
      <c r="I55" s="26" t="str">
        <f>IF(F53=prms!$AA$5,prms!$AD$5, IF(F53=prms!$AA$6,prms!$AD$6, IF(F53=prms!$AA$7,prms!$AD$7, IF(F53=prms!$AA$8,prms!$AD$8,IF(F53=prms!$AA$9,prms!$AD$9,1)))))</f>
        <v>0.3 - 0.2</v>
      </c>
    </row>
    <row r="56" spans="2:9" ht="14.5" customHeight="1" x14ac:dyDescent="0.35">
      <c r="B56" s="131" t="s">
        <v>151</v>
      </c>
      <c r="C56" s="131"/>
      <c r="D56" s="21" t="s">
        <v>170</v>
      </c>
      <c r="E56" s="19" t="s">
        <v>152</v>
      </c>
      <c r="F56" s="28">
        <v>10</v>
      </c>
    </row>
    <row r="57" spans="2:9" ht="14.5" customHeight="1" x14ac:dyDescent="0.35">
      <c r="B57" s="131" t="s">
        <v>159</v>
      </c>
      <c r="C57" s="131"/>
      <c r="D57" s="21" t="s">
        <v>171</v>
      </c>
      <c r="E57" s="19" t="s">
        <v>70</v>
      </c>
      <c r="F57" s="27">
        <v>1.7</v>
      </c>
    </row>
    <row r="58" spans="2:9" ht="14.5" customHeight="1" x14ac:dyDescent="0.35">
      <c r="B58" s="131" t="s">
        <v>96</v>
      </c>
      <c r="C58" s="131"/>
      <c r="D58" s="21" t="s">
        <v>309</v>
      </c>
      <c r="E58" s="19" t="s">
        <v>88</v>
      </c>
      <c r="F58" s="16">
        <f>F57*F56*F55/F54</f>
        <v>0.34</v>
      </c>
    </row>
    <row r="59" spans="2:9" ht="14.5" customHeight="1" x14ac:dyDescent="0.35">
      <c r="D59" s="21"/>
      <c r="F59" s="16"/>
    </row>
    <row r="60" spans="2:9" ht="14.5" customHeight="1" x14ac:dyDescent="0.35">
      <c r="B60" s="131" t="s">
        <v>172</v>
      </c>
      <c r="C60" s="131"/>
      <c r="D60" s="35"/>
      <c r="E60" s="22" t="s">
        <v>70</v>
      </c>
      <c r="F60" s="3">
        <v>1</v>
      </c>
      <c r="G60" s="132" t="s">
        <v>101</v>
      </c>
      <c r="H60" s="132"/>
    </row>
    <row r="61" spans="2:9" ht="14.5" customHeight="1" x14ac:dyDescent="0.35">
      <c r="B61" s="131" t="s">
        <v>150</v>
      </c>
      <c r="C61" s="131"/>
      <c r="D61" s="35"/>
      <c r="E61" s="81" t="s">
        <v>559</v>
      </c>
      <c r="F61" s="18" t="s">
        <v>137</v>
      </c>
    </row>
    <row r="62" spans="2:9" ht="14.5" customHeight="1" x14ac:dyDescent="0.35">
      <c r="B62" s="131" t="s">
        <v>160</v>
      </c>
      <c r="C62" s="131"/>
      <c r="D62" s="21" t="s">
        <v>173</v>
      </c>
      <c r="E62" s="19" t="s">
        <v>99</v>
      </c>
      <c r="F62" s="27">
        <v>17.5</v>
      </c>
      <c r="G62" s="132" t="s">
        <v>84</v>
      </c>
      <c r="H62" s="132"/>
      <c r="I62" s="26" t="str">
        <f>IF(F61=prms!$AA$5,prms!$AC$5, IF(F61=prms!$AA$6,prms!$AC$6, IF(F61=prms!$AA$7,prms!$AC$7, IF(F61=prms!$AA$8,prms!$AC$8,IF(F61=prms!$AA$9,prms!$AC$9,1)))))</f>
        <v>15 - 20</v>
      </c>
    </row>
    <row r="63" spans="2:9" ht="14.5" customHeight="1" x14ac:dyDescent="0.35">
      <c r="B63" s="131" t="s">
        <v>143</v>
      </c>
      <c r="C63" s="131"/>
      <c r="D63" s="21" t="s">
        <v>162</v>
      </c>
      <c r="E63" s="21" t="s">
        <v>144</v>
      </c>
      <c r="F63" s="25">
        <v>0.35</v>
      </c>
      <c r="G63" s="132" t="s">
        <v>84</v>
      </c>
      <c r="H63" s="132"/>
      <c r="I63" s="26" t="str">
        <f>IF(F61=prms!$AA$5,prms!$AD$5, IF(F61=prms!$AA$6,prms!$AD$6, IF(F61=prms!$AA$7,prms!$AD$7, IF(F61=prms!$AA$8,prms!$AD$8,IF(F61=prms!$AA$9,prms!$AD$9,1)))))</f>
        <v>0.4 - 0.3</v>
      </c>
    </row>
    <row r="64" spans="2:9" ht="14.5" customHeight="1" x14ac:dyDescent="0.35">
      <c r="B64" s="131" t="s">
        <v>151</v>
      </c>
      <c r="C64" s="131"/>
      <c r="D64" s="21" t="s">
        <v>174</v>
      </c>
      <c r="E64" s="19" t="s">
        <v>152</v>
      </c>
      <c r="F64" s="28">
        <v>10</v>
      </c>
    </row>
    <row r="65" spans="2:6" ht="14.5" customHeight="1" x14ac:dyDescent="0.35">
      <c r="B65" s="131" t="s">
        <v>159</v>
      </c>
      <c r="C65" s="131"/>
      <c r="D65" s="21" t="s">
        <v>175</v>
      </c>
      <c r="E65" s="19" t="s">
        <v>70</v>
      </c>
      <c r="F65" s="27">
        <v>1.7</v>
      </c>
    </row>
    <row r="66" spans="2:6" ht="14.5" customHeight="1" x14ac:dyDescent="0.35">
      <c r="B66" s="131" t="s">
        <v>96</v>
      </c>
      <c r="C66" s="131"/>
      <c r="D66" s="21" t="s">
        <v>310</v>
      </c>
      <c r="E66" s="19" t="s">
        <v>88</v>
      </c>
      <c r="F66" s="16">
        <f>F65*F64*F63/F62</f>
        <v>0.33999999999999997</v>
      </c>
    </row>
    <row r="67" spans="2:6" ht="14.5" customHeight="1" x14ac:dyDescent="0.35">
      <c r="F67" s="16"/>
    </row>
    <row r="68" spans="2:6" ht="14.5" customHeight="1" x14ac:dyDescent="0.35">
      <c r="B68" s="125" t="s">
        <v>372</v>
      </c>
      <c r="C68" s="125"/>
      <c r="D68" s="125"/>
      <c r="E68" s="125"/>
      <c r="F68" s="125"/>
    </row>
    <row r="70" spans="2:6" ht="14.5" customHeight="1" x14ac:dyDescent="0.35">
      <c r="B70" s="131" t="s">
        <v>143</v>
      </c>
      <c r="C70" s="131"/>
      <c r="D70" s="19" t="s">
        <v>374</v>
      </c>
      <c r="E70" s="19" t="s">
        <v>98</v>
      </c>
      <c r="F70" s="24">
        <f>F27*F14</f>
        <v>330.24782770535643</v>
      </c>
    </row>
    <row r="71" spans="2:6" ht="14.5" customHeight="1" x14ac:dyDescent="0.35">
      <c r="B71" s="131" t="s">
        <v>132</v>
      </c>
      <c r="C71" s="131"/>
      <c r="D71" s="19" t="s">
        <v>133</v>
      </c>
      <c r="E71" s="19" t="s">
        <v>134</v>
      </c>
      <c r="F71" s="25">
        <v>2.6</v>
      </c>
    </row>
    <row r="72" spans="2:6" ht="14.5" customHeight="1" x14ac:dyDescent="0.35">
      <c r="B72" s="131" t="s">
        <v>565</v>
      </c>
      <c r="C72" s="131"/>
      <c r="D72" s="19" t="s">
        <v>130</v>
      </c>
      <c r="E72" s="19" t="s">
        <v>131</v>
      </c>
      <c r="F72" s="24">
        <f>F70*F71</f>
        <v>858.64435203392679</v>
      </c>
    </row>
    <row r="73" spans="2:6" ht="14.5" customHeight="1" x14ac:dyDescent="0.35">
      <c r="E73" s="79" t="s">
        <v>558</v>
      </c>
      <c r="F73" s="74">
        <f>F72/1000</f>
        <v>0.85864435203392675</v>
      </c>
    </row>
    <row r="74" spans="2:6" s="79" customFormat="1" ht="14.5" customHeight="1" x14ac:dyDescent="0.35"/>
    <row r="75" spans="2:6" s="79" customFormat="1" ht="14.5" customHeight="1" x14ac:dyDescent="0.35">
      <c r="B75" s="125" t="s">
        <v>283</v>
      </c>
      <c r="C75" s="125"/>
      <c r="D75" s="125"/>
      <c r="E75" s="125"/>
      <c r="F75" s="125"/>
    </row>
    <row r="76" spans="2:6" s="79" customFormat="1" ht="14.5" customHeight="1" x14ac:dyDescent="0.35"/>
    <row r="77" spans="2:6" ht="14.5" customHeight="1" x14ac:dyDescent="0.35">
      <c r="B77" s="131" t="s">
        <v>361</v>
      </c>
      <c r="C77" s="131"/>
      <c r="E77" s="19" t="s">
        <v>98</v>
      </c>
      <c r="F77" s="24">
        <f>F40*F14</f>
        <v>490.02617805950683</v>
      </c>
    </row>
    <row r="78" spans="2:6" ht="14.5" customHeight="1" x14ac:dyDescent="0.35">
      <c r="B78" s="131" t="s">
        <v>362</v>
      </c>
      <c r="C78" s="131"/>
      <c r="E78" s="79" t="s">
        <v>70</v>
      </c>
      <c r="F78" s="28">
        <v>8</v>
      </c>
    </row>
    <row r="79" spans="2:6" ht="14.5" customHeight="1" x14ac:dyDescent="0.35">
      <c r="F79" s="17"/>
    </row>
    <row r="80" spans="2:6" ht="14.5" customHeight="1" x14ac:dyDescent="0.35">
      <c r="B80" s="131" t="s">
        <v>143</v>
      </c>
      <c r="C80" s="131"/>
      <c r="D80" s="19" t="s">
        <v>338</v>
      </c>
      <c r="E80" s="19" t="s">
        <v>98</v>
      </c>
      <c r="F80" s="24">
        <f>F77*F78</f>
        <v>3920.2094244760547</v>
      </c>
    </row>
    <row r="81" spans="2:6" ht="14.5" customHeight="1" x14ac:dyDescent="0.35">
      <c r="B81" s="131" t="s">
        <v>132</v>
      </c>
      <c r="C81" s="131"/>
      <c r="D81" s="19" t="s">
        <v>133</v>
      </c>
      <c r="E81" s="19" t="s">
        <v>134</v>
      </c>
      <c r="F81" s="25">
        <v>2.6</v>
      </c>
    </row>
    <row r="82" spans="2:6" ht="14.5" customHeight="1" x14ac:dyDescent="0.35">
      <c r="B82" s="131" t="s">
        <v>565</v>
      </c>
      <c r="C82" s="131"/>
      <c r="D82" s="19" t="s">
        <v>130</v>
      </c>
      <c r="E82" s="19" t="s">
        <v>131</v>
      </c>
      <c r="F82" s="24">
        <f>F80*F81</f>
        <v>10192.544503637742</v>
      </c>
    </row>
    <row r="83" spans="2:6" ht="14.5" customHeight="1" x14ac:dyDescent="0.35">
      <c r="E83" s="79" t="s">
        <v>558</v>
      </c>
      <c r="F83" s="74">
        <f>F82/1000</f>
        <v>10.192544503637743</v>
      </c>
    </row>
    <row r="84" spans="2:6" s="79" customFormat="1" ht="14.5" customHeight="1" x14ac:dyDescent="0.35"/>
    <row r="85" spans="2:6" s="79" customFormat="1" ht="14.5" customHeight="1" x14ac:dyDescent="0.35">
      <c r="B85" s="125" t="s">
        <v>373</v>
      </c>
      <c r="C85" s="125"/>
      <c r="D85" s="125"/>
      <c r="E85" s="125"/>
      <c r="F85" s="125"/>
    </row>
    <row r="86" spans="2:6" s="79" customFormat="1" ht="14.5" customHeight="1" x14ac:dyDescent="0.35"/>
    <row r="87" spans="2:6" ht="14.5" customHeight="1" x14ac:dyDescent="0.35">
      <c r="B87" s="131" t="s">
        <v>412</v>
      </c>
      <c r="C87" s="131"/>
      <c r="D87" s="21"/>
      <c r="E87" s="79" t="s">
        <v>70</v>
      </c>
      <c r="F87" s="17">
        <f>F44*F46/($F$44*$F$46+$F$52*$F$54+$F$60*$F$62)</f>
        <v>0.2</v>
      </c>
    </row>
    <row r="88" spans="2:6" ht="14.5" customHeight="1" x14ac:dyDescent="0.35">
      <c r="B88" s="131" t="s">
        <v>413</v>
      </c>
      <c r="C88" s="131"/>
      <c r="D88" s="21"/>
      <c r="E88" s="79" t="s">
        <v>70</v>
      </c>
      <c r="F88" s="17">
        <f>F52*F54/($F$44*$F$46+$F$52*$F$54+$F$60*$F$62)</f>
        <v>0.33333333333333331</v>
      </c>
    </row>
    <row r="89" spans="2:6" ht="14.5" customHeight="1" x14ac:dyDescent="0.35">
      <c r="B89" s="131" t="s">
        <v>414</v>
      </c>
      <c r="C89" s="131"/>
      <c r="D89" s="21"/>
      <c r="E89" s="79" t="s">
        <v>70</v>
      </c>
      <c r="F89" s="17">
        <f>F60*F62/($F$44*$F$46+$F$52*$F$54+$F$60*$F$62)</f>
        <v>0.46666666666666667</v>
      </c>
    </row>
    <row r="90" spans="2:6" ht="14.5" customHeight="1" x14ac:dyDescent="0.35">
      <c r="D90" s="21"/>
    </row>
    <row r="91" spans="2:6" ht="14.5" customHeight="1" x14ac:dyDescent="0.35">
      <c r="B91" s="131" t="s">
        <v>176</v>
      </c>
      <c r="C91" s="131"/>
      <c r="D91" s="21"/>
      <c r="E91" s="19" t="s">
        <v>99</v>
      </c>
      <c r="F91" s="24">
        <f>F87*$F$14</f>
        <v>960</v>
      </c>
    </row>
    <row r="92" spans="2:6" ht="14.5" customHeight="1" x14ac:dyDescent="0.35">
      <c r="B92" s="131" t="s">
        <v>177</v>
      </c>
      <c r="C92" s="131"/>
      <c r="D92" s="21"/>
      <c r="E92" s="19" t="s">
        <v>99</v>
      </c>
      <c r="F92" s="24">
        <f>F88*$F$14</f>
        <v>1600</v>
      </c>
    </row>
    <row r="93" spans="2:6" ht="14.5" customHeight="1" x14ac:dyDescent="0.35">
      <c r="B93" s="131" t="s">
        <v>178</v>
      </c>
      <c r="C93" s="131"/>
      <c r="D93" s="21"/>
      <c r="E93" s="19" t="s">
        <v>99</v>
      </c>
      <c r="F93" s="24">
        <f>F89*$F$14</f>
        <v>2240</v>
      </c>
    </row>
    <row r="94" spans="2:6" ht="14.5" customHeight="1" x14ac:dyDescent="0.35">
      <c r="D94" s="21"/>
    </row>
    <row r="95" spans="2:6" ht="14.5" customHeight="1" x14ac:dyDescent="0.35">
      <c r="B95" s="131" t="s">
        <v>179</v>
      </c>
      <c r="C95" s="131"/>
      <c r="D95" s="21" t="s">
        <v>182</v>
      </c>
      <c r="E95" s="19" t="s">
        <v>98</v>
      </c>
      <c r="F95" s="24">
        <f>F50*F91</f>
        <v>326.39999999999998</v>
      </c>
    </row>
    <row r="96" spans="2:6" ht="14.5" customHeight="1" x14ac:dyDescent="0.35">
      <c r="B96" s="131" t="s">
        <v>180</v>
      </c>
      <c r="C96" s="131"/>
      <c r="D96" s="21" t="s">
        <v>183</v>
      </c>
      <c r="E96" s="19" t="s">
        <v>98</v>
      </c>
      <c r="F96" s="24">
        <f>F58*F92</f>
        <v>544</v>
      </c>
    </row>
    <row r="97" spans="2:6" ht="14.5" customHeight="1" x14ac:dyDescent="0.35">
      <c r="B97" s="131" t="s">
        <v>181</v>
      </c>
      <c r="C97" s="131"/>
      <c r="D97" s="21" t="s">
        <v>184</v>
      </c>
      <c r="E97" s="19" t="s">
        <v>98</v>
      </c>
      <c r="F97" s="24">
        <f>F66*F93</f>
        <v>761.59999999999991</v>
      </c>
    </row>
    <row r="98" spans="2:6" ht="14.5" customHeight="1" x14ac:dyDescent="0.35">
      <c r="D98" s="21"/>
    </row>
    <row r="99" spans="2:6" ht="14.5" customHeight="1" x14ac:dyDescent="0.35">
      <c r="B99" s="131" t="s">
        <v>143</v>
      </c>
      <c r="C99" s="131"/>
      <c r="D99" s="21" t="s">
        <v>254</v>
      </c>
      <c r="E99" s="19" t="s">
        <v>98</v>
      </c>
      <c r="F99" s="24">
        <f>SUM(F95:F97)</f>
        <v>1632</v>
      </c>
    </row>
    <row r="100" spans="2:6" ht="14.5" customHeight="1" x14ac:dyDescent="0.35">
      <c r="B100" s="131" t="s">
        <v>132</v>
      </c>
      <c r="C100" s="131"/>
      <c r="D100" s="21" t="s">
        <v>133</v>
      </c>
      <c r="E100" s="19" t="s">
        <v>134</v>
      </c>
      <c r="F100" s="25">
        <v>2.6</v>
      </c>
    </row>
    <row r="101" spans="2:6" ht="14.5" customHeight="1" x14ac:dyDescent="0.35">
      <c r="B101" s="131" t="s">
        <v>565</v>
      </c>
      <c r="C101" s="131"/>
      <c r="D101" s="21" t="s">
        <v>130</v>
      </c>
      <c r="E101" s="19" t="s">
        <v>131</v>
      </c>
      <c r="F101" s="24">
        <f>F99*F100</f>
        <v>4243.2</v>
      </c>
    </row>
    <row r="102" spans="2:6" ht="14.5" customHeight="1" x14ac:dyDescent="0.35">
      <c r="E102" s="79" t="s">
        <v>558</v>
      </c>
      <c r="F102" s="74">
        <f>F101/1000</f>
        <v>4.2431999999999999</v>
      </c>
    </row>
    <row r="104" spans="2:6" ht="14.5" customHeight="1" x14ac:dyDescent="0.35">
      <c r="B104" s="125" t="s">
        <v>557</v>
      </c>
      <c r="C104" s="125"/>
      <c r="D104" s="125"/>
      <c r="E104" s="125"/>
      <c r="F104" s="125"/>
    </row>
    <row r="105" spans="2:6" ht="14.5" customHeight="1" x14ac:dyDescent="0.35">
      <c r="B105" s="79"/>
      <c r="C105" s="79"/>
      <c r="D105" s="79"/>
      <c r="E105" s="79"/>
      <c r="F105" s="79"/>
    </row>
    <row r="106" spans="2:6" ht="14.5" customHeight="1" x14ac:dyDescent="0.35">
      <c r="B106" s="131" t="s">
        <v>129</v>
      </c>
      <c r="C106" s="131"/>
      <c r="D106" s="80" t="s">
        <v>130</v>
      </c>
      <c r="E106" s="79" t="s">
        <v>131</v>
      </c>
      <c r="F106" s="24">
        <f>F72+F82+F101</f>
        <v>15294.38885567167</v>
      </c>
    </row>
    <row r="107" spans="2:6" ht="14.5" customHeight="1" x14ac:dyDescent="0.35">
      <c r="B107" s="79"/>
      <c r="C107" s="79"/>
      <c r="D107" s="79"/>
      <c r="E107" s="79" t="s">
        <v>558</v>
      </c>
      <c r="F107" s="75">
        <f>F106/1000</f>
        <v>15.29438885567167</v>
      </c>
    </row>
  </sheetData>
  <mergeCells count="97">
    <mergeCell ref="B104:F104"/>
    <mergeCell ref="B106:C106"/>
    <mergeCell ref="B101:C101"/>
    <mergeCell ref="B93:C93"/>
    <mergeCell ref="B95:C95"/>
    <mergeCell ref="B96:C96"/>
    <mergeCell ref="B97:C97"/>
    <mergeCell ref="B99:C99"/>
    <mergeCell ref="B100:C100"/>
    <mergeCell ref="B92:C92"/>
    <mergeCell ref="B71:C71"/>
    <mergeCell ref="B72:C72"/>
    <mergeCell ref="B77:C77"/>
    <mergeCell ref="B78:C78"/>
    <mergeCell ref="B80:C80"/>
    <mergeCell ref="B81:C81"/>
    <mergeCell ref="B82:C82"/>
    <mergeCell ref="B87:C87"/>
    <mergeCell ref="B88:C88"/>
    <mergeCell ref="B89:C89"/>
    <mergeCell ref="B91:C91"/>
    <mergeCell ref="B75:F75"/>
    <mergeCell ref="B85:F85"/>
    <mergeCell ref="B58:C58"/>
    <mergeCell ref="B70:C70"/>
    <mergeCell ref="B61:C61"/>
    <mergeCell ref="B62:C62"/>
    <mergeCell ref="G62:H62"/>
    <mergeCell ref="B63:C63"/>
    <mergeCell ref="G63:H63"/>
    <mergeCell ref="B64:C64"/>
    <mergeCell ref="B65:C65"/>
    <mergeCell ref="B66:C66"/>
    <mergeCell ref="B68:F68"/>
    <mergeCell ref="G46:H46"/>
    <mergeCell ref="B47:C47"/>
    <mergeCell ref="G47:H47"/>
    <mergeCell ref="B60:C60"/>
    <mergeCell ref="G60:H60"/>
    <mergeCell ref="B49:C49"/>
    <mergeCell ref="B50:C50"/>
    <mergeCell ref="B52:C52"/>
    <mergeCell ref="G52:H52"/>
    <mergeCell ref="B53:C53"/>
    <mergeCell ref="B54:C54"/>
    <mergeCell ref="G54:H54"/>
    <mergeCell ref="B55:C55"/>
    <mergeCell ref="G55:H55"/>
    <mergeCell ref="B56:C56"/>
    <mergeCell ref="B57:C57"/>
    <mergeCell ref="B48:C48"/>
    <mergeCell ref="B38:C38"/>
    <mergeCell ref="B39:C39"/>
    <mergeCell ref="B40:C40"/>
    <mergeCell ref="B42:F42"/>
    <mergeCell ref="B44:C44"/>
    <mergeCell ref="B45:C45"/>
    <mergeCell ref="B46:C46"/>
    <mergeCell ref="G44:H44"/>
    <mergeCell ref="B34:C34"/>
    <mergeCell ref="G34:I34"/>
    <mergeCell ref="B35:C35"/>
    <mergeCell ref="G35:H35"/>
    <mergeCell ref="B36:C36"/>
    <mergeCell ref="B37:C37"/>
    <mergeCell ref="G37:H37"/>
    <mergeCell ref="B29:F29"/>
    <mergeCell ref="B31:C31"/>
    <mergeCell ref="B32:C32"/>
    <mergeCell ref="G32:H32"/>
    <mergeCell ref="B33:C33"/>
    <mergeCell ref="G33:H33"/>
    <mergeCell ref="B27:C27"/>
    <mergeCell ref="G19:H19"/>
    <mergeCell ref="B20:C20"/>
    <mergeCell ref="G20:H20"/>
    <mergeCell ref="B21:C21"/>
    <mergeCell ref="G21:I21"/>
    <mergeCell ref="B22:C22"/>
    <mergeCell ref="G22:H22"/>
    <mergeCell ref="B19:C19"/>
    <mergeCell ref="B23:C23"/>
    <mergeCell ref="B24:C24"/>
    <mergeCell ref="G24:H24"/>
    <mergeCell ref="B25:C25"/>
    <mergeCell ref="B26:C26"/>
    <mergeCell ref="B11:C11"/>
    <mergeCell ref="B12:C12"/>
    <mergeCell ref="B14:C14"/>
    <mergeCell ref="B16:F16"/>
    <mergeCell ref="B18:C18"/>
    <mergeCell ref="B10:C10"/>
    <mergeCell ref="B2:F2"/>
    <mergeCell ref="B4:C4"/>
    <mergeCell ref="B6:F6"/>
    <mergeCell ref="B8:C8"/>
    <mergeCell ref="B9:C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446E2D7-70D6-4D90-A682-290CCAE0FAF4}">
          <x14:formula1>
            <xm:f>prms!$AA$5:$AA$9</xm:f>
          </x14:formula1>
          <xm:sqref>F45 F53 F61</xm:sqref>
        </x14:dataValidation>
        <x14:dataValidation type="list" allowBlank="1" showInputMessage="1" showErrorMessage="1" xr:uid="{B3941410-A56D-4F48-9A99-7F6A1253C6C1}">
          <x14:formula1>
            <xm:f>prms!$Q$5:$Q$10</xm:f>
          </x14:formula1>
          <xm:sqref>F31</xm:sqref>
        </x14:dataValidation>
        <x14:dataValidation type="list" allowBlank="1" showInputMessage="1" showErrorMessage="1" xr:uid="{F9A5469A-E24F-4504-85EA-52BAE935A56B}">
          <x14:formula1>
            <xm:f>prms!$M$5:$M$7</xm:f>
          </x14:formula1>
          <xm:sqref>F18</xm:sqref>
        </x14:dataValidation>
        <x14:dataValidation type="list" allowBlank="1" showInputMessage="1" showErrorMessage="1" xr:uid="{30F7875F-3EF5-40F4-82AD-1517971B8EB2}">
          <x14:formula1>
            <xm:f>prms!$B$5:$B$29</xm:f>
          </x14:formula1>
          <xm:sqref>F10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F51E-AEBA-4601-B746-6D1D1A29098A}">
  <dimension ref="B2:I124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19"/>
    <col min="2" max="3" width="15.6328125" style="19" customWidth="1"/>
    <col min="4" max="4" width="12.6328125" style="19" customWidth="1"/>
    <col min="5" max="5" width="12.6328125" style="19"/>
    <col min="6" max="6" width="20.6328125" style="19" customWidth="1"/>
    <col min="7" max="9" width="12.6328125" style="19" customWidth="1"/>
    <col min="10" max="16384" width="12.6328125" style="19"/>
  </cols>
  <sheetData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19" t="s">
        <v>0</v>
      </c>
      <c r="F4" s="19">
        <v>1000</v>
      </c>
    </row>
    <row r="6" spans="2:8" ht="14.5" customHeight="1" x14ac:dyDescent="0.35">
      <c r="B6" s="133" t="s">
        <v>415</v>
      </c>
      <c r="C6" s="133"/>
      <c r="D6" s="133"/>
      <c r="E6" s="133"/>
      <c r="F6" s="133"/>
    </row>
    <row r="7" spans="2:8" ht="14.5" customHeight="1" x14ac:dyDescent="0.35">
      <c r="B7" s="8"/>
      <c r="C7" s="8"/>
      <c r="D7" s="8"/>
      <c r="E7" s="8"/>
      <c r="F7" s="8"/>
    </row>
    <row r="8" spans="2:8" ht="14.5" customHeight="1" x14ac:dyDescent="0.35">
      <c r="B8" s="131" t="s">
        <v>375</v>
      </c>
      <c r="C8" s="131"/>
      <c r="D8" s="12"/>
      <c r="E8" s="19" t="s">
        <v>0</v>
      </c>
      <c r="F8" s="3">
        <v>16</v>
      </c>
    </row>
    <row r="9" spans="2:8" ht="14.5" customHeight="1" x14ac:dyDescent="0.35">
      <c r="B9" s="131" t="s">
        <v>378</v>
      </c>
      <c r="C9" s="131"/>
      <c r="D9" s="12"/>
      <c r="E9" s="19" t="s">
        <v>0</v>
      </c>
      <c r="F9" s="3">
        <v>0.05</v>
      </c>
    </row>
    <row r="10" spans="2:8" ht="14.5" customHeight="1" x14ac:dyDescent="0.35">
      <c r="B10" s="135" t="s">
        <v>379</v>
      </c>
      <c r="C10" s="135"/>
      <c r="D10" s="7"/>
      <c r="E10" s="22" t="s">
        <v>559</v>
      </c>
      <c r="F10" s="3" t="s">
        <v>370</v>
      </c>
      <c r="G10" s="132" t="s">
        <v>464</v>
      </c>
      <c r="H10" s="132"/>
    </row>
    <row r="11" spans="2:8" ht="14.5" customHeight="1" x14ac:dyDescent="0.35">
      <c r="B11" s="134" t="s">
        <v>3</v>
      </c>
      <c r="C11" s="134"/>
      <c r="D11" s="34" t="s">
        <v>380</v>
      </c>
      <c r="E11" s="21" t="s">
        <v>29</v>
      </c>
      <c r="F11" s="19">
        <f xml:space="preserve">
IF(
F10=prms!$B$5,prms!$C$5,
IF(F10=prms!$B$6,prms!$C$6,
IF(F10=prms!$B$7,prms!$C$7,
IF(F10=prms!$B$8,prms!$C$8,
IF(F10=prms!$B$9,prms!$C$9,
IF(F10=prms!$B$10,prms!$C$10,
IF(F10=prms!$B$11,prms!$C$11,
IF(F10=prms!$B$12,prms!$C$12,
IF(F10=prms!$B$13,prms!$C$13,
IF(F10=prms!$B$14,prms!$C$14,
IF(F10=prms!$B$15,prms!$C$15,
IF(F10=prms!$B$16,prms!$C$16,
IF(F10=prms!$B$17,prms!$C$17,
IF(F10=prms!$B$18,prms!$C$18,
IF(F10=prms!$B$19,prms!$C$19,
IF(F10=prms!$B$20,prms!$C$20,
IF(F10=prms!$B$21,prms!$C$21,
IF(F10=prms!$B$22,prms!$C$22,
IF(F10=prms!$B$23,prms!$C$23,
IF(F10=prms!$B$24,prms!$C$24,
IF(F10=prms!$B$25,prms!$C$25,
IF(F10=prms!$B$26,prms!$C$26,
IF(F10=prms!$B$27,prms!$C$27,
IF(F10=prms!$B$28,prms!$C$28,
IF(F10=prms!$B$29,prms!$C$29,
)))))))))))))))))))))))))</f>
        <v>2200</v>
      </c>
    </row>
    <row r="12" spans="2:8" ht="14.5" customHeight="1" x14ac:dyDescent="0.35">
      <c r="B12" s="134" t="s">
        <v>4</v>
      </c>
      <c r="C12" s="134"/>
      <c r="D12" s="34" t="s">
        <v>381</v>
      </c>
      <c r="E12" s="21" t="s">
        <v>29</v>
      </c>
      <c r="F12" s="19" t="str">
        <f xml:space="preserve">
IF(
F10=prms!$B$5,prms!$D$5,
IF(F10=prms!$B$6,prms!$D$6,
IF(F10=prms!$B$7,prms!$D$7,
IF(F10=prms!$B$8,prms!$D$8,
IF(F10=prms!$B$9,prms!$D$9,
IF(F10=prms!$B$10,prms!$D$10,
IF(F10=prms!$B$11,prms!$D$11,
IF(F10=prms!$B$12,prms!$D$12,
IF(F10=prms!$B$13,prms!$D$13,
IF(F10=prms!$B$14,prms!$D$14,
IF(F10=prms!$B$15,prms!$D$15,
IF(F10=prms!$B$16,prms!$D$16,
IF(F10=prms!$B$17,prms!$D$17,
IF(F10=prms!$B$18,prms!$D$18,
IF(F10=prms!$B$19,prms!$D$19,
IF(F10=prms!$B$20,prms!$D$20,
IF(F10=prms!$B$21,prms!$D$21,
IF(F10=prms!$B$22,prms!$D$22,
IF(F10=prms!$B$23,prms!$D$23,
IF(F10=prms!$B$24,prms!$D$24,
IF(F10=prms!$B$25,prms!$D$25,
IF(F10=prms!$B$26,prms!$D$26,
IF(F10=prms!$B$27,prms!$D$27,
IF(F10=prms!$B$28,prms!$D$28,
IF(F10=prms!$B$29,prms!$D$29)))))))))))))))))))))))))</f>
        <v>/</v>
      </c>
    </row>
    <row r="13" spans="2:8" ht="14.5" customHeight="1" x14ac:dyDescent="0.35">
      <c r="B13" s="21"/>
      <c r="C13" s="21"/>
      <c r="D13" s="34"/>
      <c r="E13" s="21"/>
    </row>
    <row r="14" spans="2:8" ht="14.5" customHeight="1" x14ac:dyDescent="0.35">
      <c r="B14" s="134" t="s">
        <v>382</v>
      </c>
      <c r="C14" s="134"/>
      <c r="D14" s="34"/>
      <c r="E14" s="21" t="s">
        <v>99</v>
      </c>
      <c r="F14" s="19">
        <f>F4*F8*F9</f>
        <v>800</v>
      </c>
    </row>
    <row r="15" spans="2:8" ht="14.5" customHeight="1" x14ac:dyDescent="0.35">
      <c r="B15" s="21"/>
      <c r="C15" s="21"/>
      <c r="D15" s="34"/>
      <c r="E15" s="21"/>
    </row>
    <row r="16" spans="2:8" ht="14.5" customHeight="1" x14ac:dyDescent="0.35">
      <c r="B16" s="133" t="s">
        <v>383</v>
      </c>
      <c r="C16" s="133"/>
      <c r="D16" s="133"/>
      <c r="E16" s="133"/>
      <c r="F16" s="133"/>
    </row>
    <row r="17" spans="2:9" ht="14.5" customHeight="1" x14ac:dyDescent="0.35">
      <c r="B17" s="8"/>
      <c r="C17" s="8"/>
      <c r="D17" s="8"/>
      <c r="E17" s="8"/>
      <c r="F17" s="8"/>
    </row>
    <row r="18" spans="2:9" ht="14.5" customHeight="1" x14ac:dyDescent="0.35">
      <c r="B18" s="131" t="s">
        <v>398</v>
      </c>
      <c r="C18" s="131"/>
      <c r="D18" s="35"/>
      <c r="E18" s="85" t="s">
        <v>559</v>
      </c>
      <c r="F18" s="3" t="s">
        <v>385</v>
      </c>
      <c r="G18" s="32"/>
      <c r="H18" s="32"/>
    </row>
    <row r="19" spans="2:9" ht="14.5" customHeight="1" x14ac:dyDescent="0.35">
      <c r="B19" s="131" t="s">
        <v>37</v>
      </c>
      <c r="C19" s="131"/>
      <c r="D19" s="21"/>
      <c r="E19" s="19" t="s">
        <v>38</v>
      </c>
      <c r="F19" s="3">
        <v>40</v>
      </c>
      <c r="G19" s="132" t="s">
        <v>84</v>
      </c>
      <c r="H19" s="132"/>
      <c r="I19" s="26" t="str">
        <f>IF(F18=prms!$V$5,prms!$W$5, IF('2 BIND'!F18=prms!$V$6,prms!$W$6,IF('2 BIND'!F18=prms!$V$7,prms!$W$7,1 )))</f>
        <v>34 - 55</v>
      </c>
    </row>
    <row r="20" spans="2:9" ht="14.5" customHeight="1" x14ac:dyDescent="0.35">
      <c r="B20" s="131" t="s">
        <v>395</v>
      </c>
      <c r="C20" s="131"/>
      <c r="D20" s="21"/>
      <c r="E20" s="19" t="s">
        <v>99</v>
      </c>
      <c r="F20" s="25">
        <v>3.5</v>
      </c>
      <c r="G20" s="132" t="s">
        <v>84</v>
      </c>
      <c r="H20" s="132"/>
      <c r="I20" s="26" t="str">
        <f>IF(F18=prms!$V$5,prms!$Y$5, IF('2 BIND'!F18=prms!$V$6,prms!$Y$6,IF('2 BIND'!F18=prms!$V$7,prms!$Y$7,1 )))</f>
        <v>3 - 4</v>
      </c>
    </row>
    <row r="21" spans="2:9" ht="14.5" customHeight="1" x14ac:dyDescent="0.35">
      <c r="B21" s="131" t="s">
        <v>45</v>
      </c>
      <c r="C21" s="131"/>
      <c r="D21" s="21" t="s">
        <v>400</v>
      </c>
      <c r="E21" s="19" t="s">
        <v>46</v>
      </c>
      <c r="F21" s="3">
        <v>0.25</v>
      </c>
      <c r="G21" s="132" t="s">
        <v>83</v>
      </c>
      <c r="H21" s="132"/>
      <c r="I21" s="132"/>
    </row>
    <row r="22" spans="2:9" ht="14.5" customHeight="1" x14ac:dyDescent="0.35">
      <c r="B22" s="131" t="s">
        <v>209</v>
      </c>
      <c r="C22" s="131"/>
      <c r="D22" s="21" t="s">
        <v>401</v>
      </c>
      <c r="E22" s="19" t="s">
        <v>286</v>
      </c>
      <c r="F22" s="3">
        <v>2</v>
      </c>
      <c r="G22" s="132" t="s">
        <v>84</v>
      </c>
      <c r="H22" s="132"/>
      <c r="I22" s="26" t="s">
        <v>211</v>
      </c>
    </row>
    <row r="23" spans="2:9" ht="14.5" customHeight="1" x14ac:dyDescent="0.35">
      <c r="B23" s="131" t="s">
        <v>79</v>
      </c>
      <c r="C23" s="131"/>
      <c r="D23" s="21" t="s">
        <v>402</v>
      </c>
      <c r="E23" s="19" t="s">
        <v>80</v>
      </c>
      <c r="F23" s="3">
        <v>0.85</v>
      </c>
      <c r="G23" s="20"/>
      <c r="H23" s="20"/>
      <c r="I23" s="20"/>
    </row>
    <row r="24" spans="2:9" ht="14.5" customHeight="1" x14ac:dyDescent="0.35">
      <c r="B24" s="131" t="s">
        <v>81</v>
      </c>
      <c r="C24" s="131"/>
      <c r="D24" s="21" t="s">
        <v>403</v>
      </c>
      <c r="E24" s="19" t="s">
        <v>82</v>
      </c>
      <c r="F24" s="18">
        <v>0.01</v>
      </c>
      <c r="G24" s="132" t="s">
        <v>84</v>
      </c>
      <c r="H24" s="132"/>
      <c r="I24" s="26" t="s">
        <v>85</v>
      </c>
    </row>
    <row r="25" spans="2:9" ht="14.5" customHeight="1" x14ac:dyDescent="0.35">
      <c r="B25" s="131" t="s">
        <v>332</v>
      </c>
      <c r="C25" s="131"/>
      <c r="D25" s="21" t="s">
        <v>404</v>
      </c>
      <c r="E25" s="19" t="s">
        <v>70</v>
      </c>
      <c r="F25" s="17">
        <f>0.05862*EXP(0.00101*$F$11)</f>
        <v>0.54081428301620915</v>
      </c>
      <c r="G25" s="20"/>
      <c r="H25" s="20"/>
      <c r="I25" s="20"/>
    </row>
    <row r="26" spans="2:9" ht="14.5" customHeight="1" x14ac:dyDescent="0.35">
      <c r="B26" s="131" t="s">
        <v>78</v>
      </c>
      <c r="C26" s="131"/>
      <c r="D26" s="21" t="s">
        <v>405</v>
      </c>
      <c r="E26" s="19" t="s">
        <v>70</v>
      </c>
      <c r="F26" s="30">
        <f>0.00868*F22+0.15333</f>
        <v>0.17069000000000001</v>
      </c>
    </row>
    <row r="27" spans="2:9" ht="14.5" customHeight="1" x14ac:dyDescent="0.35">
      <c r="B27" s="131" t="s">
        <v>96</v>
      </c>
      <c r="C27" s="131"/>
      <c r="D27" s="21" t="s">
        <v>406</v>
      </c>
      <c r="E27" s="19" t="s">
        <v>88</v>
      </c>
      <c r="F27" s="16">
        <f>F19*F21*( F25+F26 )/2*1/F23*F24</f>
        <v>4.1853193118600543E-2</v>
      </c>
    </row>
    <row r="28" spans="2:9" ht="14.5" customHeight="1" x14ac:dyDescent="0.35">
      <c r="D28" s="21"/>
    </row>
    <row r="29" spans="2:9" ht="14.5" customHeight="1" x14ac:dyDescent="0.35">
      <c r="B29" s="133" t="s">
        <v>283</v>
      </c>
      <c r="C29" s="133"/>
      <c r="D29" s="133"/>
      <c r="E29" s="133"/>
      <c r="F29" s="133"/>
    </row>
    <row r="30" spans="2:9" ht="14.5" customHeight="1" x14ac:dyDescent="0.35">
      <c r="B30" s="8"/>
      <c r="C30" s="8"/>
      <c r="D30" s="8"/>
      <c r="E30" s="8"/>
      <c r="F30" s="8"/>
    </row>
    <row r="31" spans="2:9" ht="14.5" customHeight="1" x14ac:dyDescent="0.35">
      <c r="B31" s="131" t="s">
        <v>285</v>
      </c>
      <c r="C31" s="131"/>
      <c r="D31" s="8"/>
      <c r="E31" s="85" t="s">
        <v>559</v>
      </c>
      <c r="F31" s="33" t="s">
        <v>261</v>
      </c>
    </row>
    <row r="32" spans="2:9" ht="14.5" customHeight="1" x14ac:dyDescent="0.35">
      <c r="B32" s="131" t="s">
        <v>37</v>
      </c>
      <c r="C32" s="131"/>
      <c r="E32" s="19" t="s">
        <v>38</v>
      </c>
      <c r="F32" s="3">
        <v>70</v>
      </c>
      <c r="G32" s="132" t="s">
        <v>84</v>
      </c>
      <c r="H32" s="132"/>
      <c r="I32" s="32" t="str">
        <f>IF($F$31=prms!$Q$5,prms!$R$5,IF($F$31=prms!Q6,prms!$R$6,IF($F$31=prms!$Q$7,prms!$R$7,IF($F$31=prms!$Q$8,prms!$R$8,IF($F$31=prms!$Q$9,prms!R$9,IF($F$31=prms!$Q$10,prms!$R$10,1))))))</f>
        <v>51 - 100</v>
      </c>
    </row>
    <row r="33" spans="2:9" ht="14.5" customHeight="1" x14ac:dyDescent="0.35">
      <c r="B33" s="131" t="s">
        <v>256</v>
      </c>
      <c r="C33" s="131"/>
      <c r="E33" s="19" t="s">
        <v>0</v>
      </c>
      <c r="F33" s="25">
        <v>1.8</v>
      </c>
      <c r="G33" s="132" t="s">
        <v>84</v>
      </c>
      <c r="H33" s="132"/>
      <c r="I33" s="32" t="str">
        <f>IF($F$31=prms!$Q$5,prms!$S$5,IF($F$31=prms!$Q$6,prms!$S$6,IF($F$31=prms!$Q$7,prms!$S$7,IF($F$31=prms!$Q$8,prms!$S$8,IF($F$31=prms!$Q$9,prms!$S$9,IF($F$31=prms!$Q$10,prms!$S$10,1))))))</f>
        <v>1.13 - 2.13</v>
      </c>
    </row>
    <row r="34" spans="2:9" ht="14.5" customHeight="1" x14ac:dyDescent="0.35">
      <c r="B34" s="131" t="s">
        <v>45</v>
      </c>
      <c r="C34" s="131"/>
      <c r="D34" s="19" t="s">
        <v>330</v>
      </c>
      <c r="E34" s="19" t="s">
        <v>46</v>
      </c>
      <c r="F34" s="3">
        <v>0.25</v>
      </c>
      <c r="G34" s="132" t="s">
        <v>83</v>
      </c>
      <c r="H34" s="132"/>
      <c r="I34" s="132"/>
    </row>
    <row r="35" spans="2:9" ht="14.5" customHeight="1" x14ac:dyDescent="0.35">
      <c r="B35" s="131" t="s">
        <v>209</v>
      </c>
      <c r="C35" s="131"/>
      <c r="D35" s="19" t="s">
        <v>287</v>
      </c>
      <c r="E35" s="19" t="s">
        <v>286</v>
      </c>
      <c r="F35" s="3">
        <v>2</v>
      </c>
      <c r="G35" s="132" t="s">
        <v>84</v>
      </c>
      <c r="H35" s="132"/>
      <c r="I35" s="26" t="s">
        <v>211</v>
      </c>
    </row>
    <row r="36" spans="2:9" ht="14.5" customHeight="1" x14ac:dyDescent="0.35">
      <c r="B36" s="131" t="s">
        <v>79</v>
      </c>
      <c r="C36" s="131"/>
      <c r="D36" s="34" t="s">
        <v>288</v>
      </c>
      <c r="E36" s="19" t="s">
        <v>80</v>
      </c>
      <c r="F36" s="3">
        <v>0.85</v>
      </c>
      <c r="G36" s="20"/>
      <c r="H36" s="20"/>
      <c r="I36" s="20"/>
    </row>
    <row r="37" spans="2:9" ht="14.5" customHeight="1" x14ac:dyDescent="0.35">
      <c r="B37" s="131" t="s">
        <v>81</v>
      </c>
      <c r="C37" s="131"/>
      <c r="D37" s="11" t="s">
        <v>331</v>
      </c>
      <c r="E37" s="19" t="s">
        <v>82</v>
      </c>
      <c r="F37" s="18">
        <v>0.01</v>
      </c>
      <c r="G37" s="132" t="s">
        <v>84</v>
      </c>
      <c r="H37" s="132"/>
      <c r="I37" s="26" t="s">
        <v>85</v>
      </c>
    </row>
    <row r="38" spans="2:9" ht="14.5" customHeight="1" x14ac:dyDescent="0.35">
      <c r="B38" s="131" t="s">
        <v>332</v>
      </c>
      <c r="C38" s="131"/>
      <c r="D38" s="19" t="s">
        <v>333</v>
      </c>
      <c r="E38" s="19" t="s">
        <v>70</v>
      </c>
      <c r="F38" s="17">
        <f>0.05173*EXP(0.00142*$F$11)</f>
        <v>1.1761925923034571</v>
      </c>
      <c r="G38" s="20"/>
      <c r="H38" s="20"/>
      <c r="I38" s="20"/>
    </row>
    <row r="39" spans="2:9" ht="14.5" customHeight="1" x14ac:dyDescent="0.35">
      <c r="B39" s="131" t="s">
        <v>78</v>
      </c>
      <c r="C39" s="131"/>
      <c r="D39" s="19" t="s">
        <v>334</v>
      </c>
      <c r="E39" s="19" t="s">
        <v>70</v>
      </c>
      <c r="F39" s="30">
        <f>0.21032*F35^0.4321</f>
        <v>0.28376291328699671</v>
      </c>
    </row>
    <row r="40" spans="2:9" ht="14.5" customHeight="1" x14ac:dyDescent="0.35">
      <c r="B40" s="131" t="s">
        <v>96</v>
      </c>
      <c r="C40" s="131"/>
      <c r="D40" s="19" t="s">
        <v>335</v>
      </c>
      <c r="E40" s="19" t="s">
        <v>88</v>
      </c>
      <c r="F40" s="16">
        <f>F32*F34*( F38 +F39 )/2*1/F36*F37</f>
        <v>0.15028953734019376</v>
      </c>
    </row>
    <row r="41" spans="2:9" ht="14.5" customHeight="1" x14ac:dyDescent="0.35">
      <c r="D41" s="21"/>
    </row>
    <row r="42" spans="2:9" s="83" customFormat="1" ht="14.5" customHeight="1" x14ac:dyDescent="0.35">
      <c r="B42" s="133" t="s">
        <v>515</v>
      </c>
      <c r="C42" s="133"/>
      <c r="D42" s="133"/>
      <c r="E42" s="133"/>
      <c r="F42" s="133"/>
      <c r="G42" s="59"/>
      <c r="H42" s="59"/>
      <c r="I42" s="59"/>
    </row>
    <row r="43" spans="2:9" s="83" customFormat="1" ht="14.5" customHeight="1" x14ac:dyDescent="0.35">
      <c r="B43" s="59"/>
      <c r="C43" s="59"/>
      <c r="D43" s="59"/>
      <c r="E43" s="59"/>
      <c r="F43" s="16"/>
      <c r="G43" s="59"/>
      <c r="H43" s="59"/>
      <c r="I43" s="59"/>
    </row>
    <row r="44" spans="2:9" s="83" customFormat="1" ht="14.5" customHeight="1" x14ac:dyDescent="0.35">
      <c r="B44" s="131" t="s">
        <v>497</v>
      </c>
      <c r="C44" s="131"/>
      <c r="D44" s="12"/>
      <c r="E44" s="83" t="s">
        <v>70</v>
      </c>
      <c r="F44" s="3">
        <v>1</v>
      </c>
      <c r="G44" s="132" t="s">
        <v>101</v>
      </c>
      <c r="H44" s="132"/>
      <c r="I44" s="59"/>
    </row>
    <row r="45" spans="2:9" s="83" customFormat="1" ht="14.5" customHeight="1" x14ac:dyDescent="0.35">
      <c r="B45" s="131" t="s">
        <v>498</v>
      </c>
      <c r="C45" s="131"/>
      <c r="D45" s="35"/>
      <c r="E45" s="85" t="s">
        <v>559</v>
      </c>
      <c r="F45" s="18" t="s">
        <v>500</v>
      </c>
      <c r="G45" s="59"/>
      <c r="H45" s="59"/>
      <c r="I45" s="59"/>
    </row>
    <row r="46" spans="2:9" s="83" customFormat="1" ht="14.5" customHeight="1" x14ac:dyDescent="0.35">
      <c r="B46" s="131" t="s">
        <v>81</v>
      </c>
      <c r="C46" s="131"/>
      <c r="D46" s="62" t="s">
        <v>531</v>
      </c>
      <c r="E46" s="59" t="s">
        <v>503</v>
      </c>
      <c r="F46" s="28">
        <v>150</v>
      </c>
      <c r="G46" s="132" t="s">
        <v>84</v>
      </c>
      <c r="H46" s="132"/>
      <c r="I46" s="60" t="str">
        <f>IF(F45=prms!$AF$5,prms!$AG$5, 1)</f>
        <v>100 - 200</v>
      </c>
    </row>
    <row r="47" spans="2:9" s="83" customFormat="1" ht="14.5" customHeight="1" x14ac:dyDescent="0.35">
      <c r="B47" s="131" t="s">
        <v>143</v>
      </c>
      <c r="C47" s="131"/>
      <c r="D47" s="62" t="s">
        <v>512</v>
      </c>
      <c r="E47" s="62" t="s">
        <v>504</v>
      </c>
      <c r="F47" s="28">
        <v>2</v>
      </c>
      <c r="G47" s="132" t="s">
        <v>84</v>
      </c>
      <c r="H47" s="132"/>
      <c r="I47" s="60" t="str">
        <f>IF(F45=prms!$AF$5,prms!$AH$5, 1)</f>
        <v>1 -3</v>
      </c>
    </row>
    <row r="48" spans="2:9" s="83" customFormat="1" ht="14.5" customHeight="1" x14ac:dyDescent="0.35">
      <c r="B48" s="131" t="s">
        <v>514</v>
      </c>
      <c r="C48" s="131"/>
      <c r="D48" s="62"/>
      <c r="E48" s="59" t="s">
        <v>0</v>
      </c>
      <c r="F48" s="18">
        <v>5.0000000000000001E-3</v>
      </c>
      <c r="G48" s="59"/>
      <c r="H48" s="59"/>
      <c r="I48" s="59"/>
    </row>
    <row r="49" spans="2:9" s="83" customFormat="1" ht="14.5" customHeight="1" x14ac:dyDescent="0.35">
      <c r="B49" s="131" t="s">
        <v>506</v>
      </c>
      <c r="C49" s="131"/>
      <c r="D49" s="59"/>
      <c r="E49" s="59" t="s">
        <v>99</v>
      </c>
      <c r="F49" s="24">
        <f>F48*$F$4*$F$8</f>
        <v>80</v>
      </c>
      <c r="G49" s="59"/>
      <c r="H49" s="59"/>
      <c r="I49" s="59"/>
    </row>
    <row r="50" spans="2:9" s="83" customFormat="1" ht="14.5" customHeight="1" x14ac:dyDescent="0.35">
      <c r="D50" s="84"/>
    </row>
    <row r="51" spans="2:9" ht="14.5" customHeight="1" x14ac:dyDescent="0.35">
      <c r="B51" s="133" t="s">
        <v>407</v>
      </c>
      <c r="C51" s="133"/>
      <c r="D51" s="133"/>
      <c r="E51" s="133"/>
      <c r="F51" s="133"/>
    </row>
    <row r="52" spans="2:9" ht="14.5" customHeight="1" x14ac:dyDescent="0.35">
      <c r="F52" s="16"/>
    </row>
    <row r="53" spans="2:9" ht="14.5" customHeight="1" x14ac:dyDescent="0.35">
      <c r="B53" s="131" t="s">
        <v>148</v>
      </c>
      <c r="C53" s="131"/>
      <c r="D53" s="12"/>
      <c r="E53" s="22" t="s">
        <v>70</v>
      </c>
      <c r="F53" s="3">
        <v>1</v>
      </c>
      <c r="G53" s="132" t="s">
        <v>101</v>
      </c>
      <c r="H53" s="132"/>
    </row>
    <row r="54" spans="2:9" ht="14.5" customHeight="1" x14ac:dyDescent="0.35">
      <c r="B54" s="131" t="s">
        <v>149</v>
      </c>
      <c r="C54" s="131"/>
      <c r="D54" s="35"/>
      <c r="E54" s="85" t="s">
        <v>559</v>
      </c>
      <c r="F54" s="18" t="s">
        <v>135</v>
      </c>
    </row>
    <row r="55" spans="2:9" ht="14.5" customHeight="1" x14ac:dyDescent="0.35">
      <c r="B55" s="131" t="s">
        <v>160</v>
      </c>
      <c r="C55" s="131"/>
      <c r="D55" s="21" t="s">
        <v>161</v>
      </c>
      <c r="E55" s="19" t="s">
        <v>99</v>
      </c>
      <c r="F55" s="27">
        <v>7.5</v>
      </c>
      <c r="G55" s="132" t="s">
        <v>84</v>
      </c>
      <c r="H55" s="132"/>
      <c r="I55" s="26" t="str">
        <f>IF(F54=prms!$AA$5,prms!$AC$5, IF(F54=prms!$AA$6,prms!$AC$6, IF(F54=prms!$AA$7,prms!$AC$7, IF(F54=prms!$AA$8,prms!$AC$8,IF(F54=prms!$AA$9,prms!$AC$9,1)))))</f>
        <v>5 - 10</v>
      </c>
    </row>
    <row r="56" spans="2:9" ht="14.5" customHeight="1" x14ac:dyDescent="0.35">
      <c r="B56" s="131" t="s">
        <v>143</v>
      </c>
      <c r="C56" s="131"/>
      <c r="D56" s="21" t="s">
        <v>164</v>
      </c>
      <c r="E56" s="21" t="s">
        <v>144</v>
      </c>
      <c r="F56" s="25">
        <v>0.15</v>
      </c>
      <c r="G56" s="132" t="s">
        <v>84</v>
      </c>
      <c r="H56" s="132"/>
      <c r="I56" s="26" t="str">
        <f>IF(F54=prms!$AA$5,prms!$AD$5, IF(F54=prms!$AA$6,prms!$AD$6, IF(F54=prms!$AA$7,prms!$AD$7, IF(F54=prms!$AA$8,prms!$AD$8,IF(F54=prms!$AA$9,prms!$AD$9,1)))))</f>
        <v>0.2 - 0.1</v>
      </c>
    </row>
    <row r="57" spans="2:9" ht="14.5" customHeight="1" x14ac:dyDescent="0.35">
      <c r="B57" s="131" t="s">
        <v>151</v>
      </c>
      <c r="C57" s="131"/>
      <c r="D57" s="21" t="s">
        <v>163</v>
      </c>
      <c r="E57" s="19" t="s">
        <v>152</v>
      </c>
      <c r="F57" s="28">
        <v>10</v>
      </c>
    </row>
    <row r="58" spans="2:9" ht="14.5" customHeight="1" x14ac:dyDescent="0.35">
      <c r="B58" s="131" t="s">
        <v>159</v>
      </c>
      <c r="C58" s="131"/>
      <c r="D58" s="21" t="s">
        <v>165</v>
      </c>
      <c r="E58" s="19" t="s">
        <v>70</v>
      </c>
      <c r="F58" s="27">
        <v>1.7</v>
      </c>
    </row>
    <row r="59" spans="2:9" ht="14.5" customHeight="1" x14ac:dyDescent="0.35">
      <c r="B59" s="131" t="s">
        <v>96</v>
      </c>
      <c r="C59" s="131"/>
      <c r="D59" s="21" t="s">
        <v>308</v>
      </c>
      <c r="E59" s="19" t="s">
        <v>88</v>
      </c>
      <c r="F59" s="16">
        <f>F58*F57*F56/F55</f>
        <v>0.33999999999999997</v>
      </c>
    </row>
    <row r="60" spans="2:9" ht="14.5" customHeight="1" x14ac:dyDescent="0.35">
      <c r="D60" s="21"/>
      <c r="F60" s="16"/>
    </row>
    <row r="61" spans="2:9" ht="14.5" customHeight="1" x14ac:dyDescent="0.35">
      <c r="B61" s="131" t="s">
        <v>166</v>
      </c>
      <c r="C61" s="131"/>
      <c r="D61" s="35"/>
      <c r="E61" s="22" t="s">
        <v>70</v>
      </c>
      <c r="F61" s="3">
        <v>1</v>
      </c>
      <c r="G61" s="132" t="s">
        <v>101</v>
      </c>
      <c r="H61" s="132"/>
    </row>
    <row r="62" spans="2:9" ht="14.5" customHeight="1" x14ac:dyDescent="0.35">
      <c r="B62" s="131" t="s">
        <v>167</v>
      </c>
      <c r="C62" s="131"/>
      <c r="D62" s="35"/>
      <c r="E62" s="85" t="s">
        <v>559</v>
      </c>
      <c r="F62" s="18" t="s">
        <v>136</v>
      </c>
    </row>
    <row r="63" spans="2:9" ht="14.5" customHeight="1" x14ac:dyDescent="0.35">
      <c r="B63" s="131" t="s">
        <v>160</v>
      </c>
      <c r="C63" s="131"/>
      <c r="D63" s="21" t="s">
        <v>168</v>
      </c>
      <c r="E63" s="19" t="s">
        <v>99</v>
      </c>
      <c r="F63" s="27">
        <v>12.5</v>
      </c>
      <c r="G63" s="132" t="s">
        <v>84</v>
      </c>
      <c r="H63" s="132"/>
      <c r="I63" s="26" t="str">
        <f>IF(F62=prms!$AA$5,prms!$AC$5, IF(F62=prms!$AA$6,prms!$AC$6, IF(F62=prms!$AA$7,prms!$AC$7, IF(F62=prms!$AA$8,prms!$AC$8,IF(F62=prms!$AA$9,prms!$AC$9,1)))))</f>
        <v>10 - 15</v>
      </c>
    </row>
    <row r="64" spans="2:9" ht="14.5" customHeight="1" x14ac:dyDescent="0.35">
      <c r="B64" s="131" t="s">
        <v>143</v>
      </c>
      <c r="C64" s="131"/>
      <c r="D64" s="21" t="s">
        <v>169</v>
      </c>
      <c r="E64" s="21" t="s">
        <v>144</v>
      </c>
      <c r="F64" s="25">
        <v>0.25</v>
      </c>
      <c r="G64" s="132" t="s">
        <v>84</v>
      </c>
      <c r="H64" s="132"/>
      <c r="I64" s="26" t="str">
        <f>IF(F62=prms!$AA$5,prms!$AD$5, IF(F62=prms!$AA$6,prms!$AD$6, IF(F62=prms!$AA$7,prms!$AD$7, IF(F62=prms!$AA$8,prms!$AD$8,IF(F62=prms!$AA$9,prms!$AD$9,1)))))</f>
        <v>0.3 - 0.2</v>
      </c>
    </row>
    <row r="65" spans="2:9" ht="14.5" customHeight="1" x14ac:dyDescent="0.35">
      <c r="B65" s="131" t="s">
        <v>151</v>
      </c>
      <c r="C65" s="131"/>
      <c r="D65" s="21" t="s">
        <v>170</v>
      </c>
      <c r="E65" s="19" t="s">
        <v>152</v>
      </c>
      <c r="F65" s="28">
        <v>10</v>
      </c>
    </row>
    <row r="66" spans="2:9" ht="14.5" customHeight="1" x14ac:dyDescent="0.35">
      <c r="B66" s="131" t="s">
        <v>159</v>
      </c>
      <c r="C66" s="131"/>
      <c r="D66" s="21" t="s">
        <v>171</v>
      </c>
      <c r="E66" s="19" t="s">
        <v>70</v>
      </c>
      <c r="F66" s="27">
        <v>1.7</v>
      </c>
    </row>
    <row r="67" spans="2:9" ht="14.5" customHeight="1" x14ac:dyDescent="0.35">
      <c r="B67" s="131" t="s">
        <v>96</v>
      </c>
      <c r="C67" s="131"/>
      <c r="D67" s="21" t="s">
        <v>309</v>
      </c>
      <c r="E67" s="19" t="s">
        <v>88</v>
      </c>
      <c r="F67" s="16">
        <f>F66*F65*F64/F63</f>
        <v>0.34</v>
      </c>
    </row>
    <row r="68" spans="2:9" ht="14.5" customHeight="1" x14ac:dyDescent="0.35">
      <c r="D68" s="21"/>
      <c r="F68" s="16"/>
    </row>
    <row r="69" spans="2:9" ht="14.5" customHeight="1" x14ac:dyDescent="0.35">
      <c r="B69" s="131" t="s">
        <v>172</v>
      </c>
      <c r="C69" s="131"/>
      <c r="D69" s="35"/>
      <c r="E69" s="22" t="s">
        <v>70</v>
      </c>
      <c r="F69" s="3">
        <v>1</v>
      </c>
      <c r="G69" s="132" t="s">
        <v>101</v>
      </c>
      <c r="H69" s="132"/>
    </row>
    <row r="70" spans="2:9" ht="14.5" customHeight="1" x14ac:dyDescent="0.35">
      <c r="B70" s="131" t="s">
        <v>150</v>
      </c>
      <c r="C70" s="131"/>
      <c r="D70" s="35"/>
      <c r="E70" s="85" t="s">
        <v>559</v>
      </c>
      <c r="F70" s="18" t="s">
        <v>137</v>
      </c>
    </row>
    <row r="71" spans="2:9" ht="14.5" customHeight="1" x14ac:dyDescent="0.35">
      <c r="B71" s="131" t="s">
        <v>160</v>
      </c>
      <c r="C71" s="131"/>
      <c r="D71" s="21" t="s">
        <v>173</v>
      </c>
      <c r="E71" s="19" t="s">
        <v>99</v>
      </c>
      <c r="F71" s="27">
        <v>17.5</v>
      </c>
      <c r="G71" s="132" t="s">
        <v>84</v>
      </c>
      <c r="H71" s="132"/>
      <c r="I71" s="26" t="str">
        <f>IF(F70=prms!$AA$5,prms!$AC$5, IF(F70=prms!$AA$6,prms!$AC$6, IF(F70=prms!$AA$7,prms!$AC$7, IF(F70=prms!$AA$8,prms!$AC$8,IF(F70=prms!$AA$9,prms!$AC$9,1)))))</f>
        <v>15 - 20</v>
      </c>
    </row>
    <row r="72" spans="2:9" ht="14.5" customHeight="1" x14ac:dyDescent="0.35">
      <c r="B72" s="131" t="s">
        <v>143</v>
      </c>
      <c r="C72" s="131"/>
      <c r="D72" s="21" t="s">
        <v>162</v>
      </c>
      <c r="E72" s="21" t="s">
        <v>144</v>
      </c>
      <c r="F72" s="25">
        <v>0.35</v>
      </c>
      <c r="G72" s="132" t="s">
        <v>84</v>
      </c>
      <c r="H72" s="132"/>
      <c r="I72" s="26" t="str">
        <f>IF(F70=prms!$AA$5,prms!$AD$5, IF(F70=prms!$AA$6,prms!$AD$6, IF(F70=prms!$AA$7,prms!$AD$7, IF(F70=prms!$AA$8,prms!$AD$8,IF(F70=prms!$AA$9,prms!$AD$9,1)))))</f>
        <v>0.4 - 0.3</v>
      </c>
    </row>
    <row r="73" spans="2:9" ht="14.5" customHeight="1" x14ac:dyDescent="0.35">
      <c r="B73" s="131" t="s">
        <v>151</v>
      </c>
      <c r="C73" s="131"/>
      <c r="D73" s="21" t="s">
        <v>174</v>
      </c>
      <c r="E73" s="19" t="s">
        <v>152</v>
      </c>
      <c r="F73" s="28">
        <v>10</v>
      </c>
    </row>
    <row r="74" spans="2:9" ht="14.5" customHeight="1" x14ac:dyDescent="0.35">
      <c r="B74" s="131" t="s">
        <v>159</v>
      </c>
      <c r="C74" s="131"/>
      <c r="D74" s="21" t="s">
        <v>175</v>
      </c>
      <c r="E74" s="19" t="s">
        <v>70</v>
      </c>
      <c r="F74" s="27">
        <v>1.7</v>
      </c>
    </row>
    <row r="75" spans="2:9" ht="14.5" customHeight="1" x14ac:dyDescent="0.35">
      <c r="B75" s="131" t="s">
        <v>96</v>
      </c>
      <c r="C75" s="131"/>
      <c r="D75" s="21" t="s">
        <v>310</v>
      </c>
      <c r="E75" s="19" t="s">
        <v>88</v>
      </c>
      <c r="F75" s="16">
        <f>F74*F73*F72/F71</f>
        <v>0.33999999999999997</v>
      </c>
    </row>
    <row r="76" spans="2:9" s="59" customFormat="1" ht="14.5" customHeight="1" x14ac:dyDescent="0.35">
      <c r="D76" s="62"/>
      <c r="F76" s="16"/>
    </row>
    <row r="77" spans="2:9" ht="14.5" customHeight="1" x14ac:dyDescent="0.35">
      <c r="B77" s="125" t="s">
        <v>383</v>
      </c>
      <c r="C77" s="125"/>
      <c r="D77" s="125"/>
      <c r="E77" s="125"/>
      <c r="F77" s="125"/>
    </row>
    <row r="79" spans="2:9" ht="14.5" customHeight="1" x14ac:dyDescent="0.35">
      <c r="B79" s="131" t="s">
        <v>143</v>
      </c>
      <c r="C79" s="131"/>
      <c r="D79" s="19" t="s">
        <v>411</v>
      </c>
      <c r="E79" s="19" t="s">
        <v>98</v>
      </c>
      <c r="F79" s="24">
        <f>F27*F14</f>
        <v>33.482554494880432</v>
      </c>
    </row>
    <row r="80" spans="2:9" ht="14.5" customHeight="1" x14ac:dyDescent="0.35">
      <c r="B80" s="131" t="s">
        <v>132</v>
      </c>
      <c r="C80" s="131"/>
      <c r="D80" s="19" t="s">
        <v>133</v>
      </c>
      <c r="E80" s="19" t="s">
        <v>134</v>
      </c>
      <c r="F80" s="25">
        <v>2.6</v>
      </c>
    </row>
    <row r="81" spans="2:6" ht="14.5" customHeight="1" x14ac:dyDescent="0.35">
      <c r="B81" s="131" t="s">
        <v>565</v>
      </c>
      <c r="C81" s="131"/>
      <c r="D81" s="19" t="s">
        <v>130</v>
      </c>
      <c r="E81" s="19" t="s">
        <v>131</v>
      </c>
      <c r="F81" s="24">
        <f>F79*F80</f>
        <v>87.054641686689124</v>
      </c>
    </row>
    <row r="82" spans="2:6" ht="14.5" customHeight="1" x14ac:dyDescent="0.35">
      <c r="E82" s="83" t="s">
        <v>558</v>
      </c>
      <c r="F82" s="74">
        <f>F81/1000</f>
        <v>8.7054641686689124E-2</v>
      </c>
    </row>
    <row r="83" spans="2:6" s="83" customFormat="1" ht="14.5" customHeight="1" x14ac:dyDescent="0.35"/>
    <row r="84" spans="2:6" s="83" customFormat="1" ht="14.5" customHeight="1" x14ac:dyDescent="0.35">
      <c r="B84" s="125" t="s">
        <v>283</v>
      </c>
      <c r="C84" s="125"/>
      <c r="D84" s="125"/>
      <c r="E84" s="125"/>
      <c r="F84" s="125"/>
    </row>
    <row r="85" spans="2:6" s="83" customFormat="1" ht="14.5" customHeight="1" x14ac:dyDescent="0.35"/>
    <row r="86" spans="2:6" ht="14.5" customHeight="1" x14ac:dyDescent="0.35">
      <c r="B86" s="131" t="s">
        <v>361</v>
      </c>
      <c r="C86" s="131"/>
      <c r="E86" s="19" t="s">
        <v>98</v>
      </c>
      <c r="F86" s="24">
        <f>F40*F14</f>
        <v>120.23162987215501</v>
      </c>
    </row>
    <row r="87" spans="2:6" ht="14.5" customHeight="1" x14ac:dyDescent="0.35">
      <c r="B87" s="131" t="s">
        <v>362</v>
      </c>
      <c r="C87" s="131"/>
      <c r="E87" s="83" t="s">
        <v>70</v>
      </c>
      <c r="F87" s="28">
        <v>4</v>
      </c>
    </row>
    <row r="88" spans="2:6" ht="14.5" customHeight="1" x14ac:dyDescent="0.35">
      <c r="F88" s="17"/>
    </row>
    <row r="89" spans="2:6" ht="14.5" customHeight="1" x14ac:dyDescent="0.35">
      <c r="B89" s="131" t="s">
        <v>143</v>
      </c>
      <c r="C89" s="131"/>
      <c r="D89" s="19" t="s">
        <v>338</v>
      </c>
      <c r="E89" s="19" t="s">
        <v>98</v>
      </c>
      <c r="F89" s="24">
        <f>F86*F87</f>
        <v>480.92651948862004</v>
      </c>
    </row>
    <row r="90" spans="2:6" ht="14.5" customHeight="1" x14ac:dyDescent="0.35">
      <c r="B90" s="131" t="s">
        <v>132</v>
      </c>
      <c r="C90" s="131"/>
      <c r="D90" s="19" t="s">
        <v>133</v>
      </c>
      <c r="E90" s="19" t="s">
        <v>134</v>
      </c>
      <c r="F90" s="25">
        <v>2.6</v>
      </c>
    </row>
    <row r="91" spans="2:6" ht="14.5" customHeight="1" x14ac:dyDescent="0.35">
      <c r="B91" s="131" t="s">
        <v>565</v>
      </c>
      <c r="C91" s="131"/>
      <c r="D91" s="19" t="s">
        <v>130</v>
      </c>
      <c r="E91" s="19" t="s">
        <v>131</v>
      </c>
      <c r="F91" s="24">
        <f>F89*F90</f>
        <v>1250.4089506704122</v>
      </c>
    </row>
    <row r="92" spans="2:6" s="83" customFormat="1" ht="14.5" customHeight="1" x14ac:dyDescent="0.35">
      <c r="E92" s="83" t="s">
        <v>558</v>
      </c>
      <c r="F92" s="74">
        <f>F91/1000</f>
        <v>1.2504089506704121</v>
      </c>
    </row>
    <row r="93" spans="2:6" s="83" customFormat="1" ht="14.5" customHeight="1" x14ac:dyDescent="0.35">
      <c r="F93" s="24"/>
    </row>
    <row r="94" spans="2:6" s="83" customFormat="1" ht="14.5" customHeight="1" x14ac:dyDescent="0.35">
      <c r="B94" s="125" t="s">
        <v>515</v>
      </c>
      <c r="C94" s="125"/>
      <c r="D94" s="125"/>
      <c r="E94" s="125"/>
      <c r="F94" s="125"/>
    </row>
    <row r="95" spans="2:6" s="83" customFormat="1" ht="14.5" customHeight="1" x14ac:dyDescent="0.35">
      <c r="F95" s="24"/>
    </row>
    <row r="96" spans="2:6" s="83" customFormat="1" ht="14.5" customHeight="1" x14ac:dyDescent="0.35">
      <c r="B96" s="131" t="s">
        <v>507</v>
      </c>
      <c r="C96" s="131"/>
      <c r="D96" s="59"/>
      <c r="E96" s="59" t="s">
        <v>450</v>
      </c>
      <c r="F96" s="24">
        <f>F49/F46*F44</f>
        <v>0.53333333333333333</v>
      </c>
    </row>
    <row r="97" spans="2:6" s="83" customFormat="1" ht="14.5" customHeight="1" x14ac:dyDescent="0.35">
      <c r="B97" s="131" t="s">
        <v>143</v>
      </c>
      <c r="C97" s="131"/>
      <c r="D97" s="59" t="s">
        <v>338</v>
      </c>
      <c r="E97" s="59" t="s">
        <v>98</v>
      </c>
      <c r="F97" s="24">
        <f>F49*F96</f>
        <v>42.666666666666664</v>
      </c>
    </row>
    <row r="98" spans="2:6" s="83" customFormat="1" ht="14.5" customHeight="1" x14ac:dyDescent="0.35">
      <c r="B98" s="131" t="s">
        <v>132</v>
      </c>
      <c r="C98" s="131"/>
      <c r="D98" s="59" t="s">
        <v>133</v>
      </c>
      <c r="E98" s="59" t="s">
        <v>134</v>
      </c>
      <c r="F98" s="25">
        <v>2.6</v>
      </c>
    </row>
    <row r="99" spans="2:6" s="83" customFormat="1" ht="14.5" customHeight="1" x14ac:dyDescent="0.35">
      <c r="B99" s="131" t="s">
        <v>565</v>
      </c>
      <c r="C99" s="131"/>
      <c r="D99" s="59" t="s">
        <v>130</v>
      </c>
      <c r="E99" s="59" t="s">
        <v>131</v>
      </c>
      <c r="F99" s="24">
        <f>F97*F98</f>
        <v>110.93333333333334</v>
      </c>
    </row>
    <row r="100" spans="2:6" s="83" customFormat="1" ht="14.5" customHeight="1" x14ac:dyDescent="0.35">
      <c r="E100" s="83" t="s">
        <v>558</v>
      </c>
      <c r="F100" s="74">
        <f>F99/1000</f>
        <v>0.11093333333333334</v>
      </c>
    </row>
    <row r="101" spans="2:6" s="83" customFormat="1" ht="14.5" customHeight="1" x14ac:dyDescent="0.35">
      <c r="F101" s="24"/>
    </row>
    <row r="102" spans="2:6" ht="14.5" customHeight="1" x14ac:dyDescent="0.35">
      <c r="B102" s="125" t="s">
        <v>407</v>
      </c>
      <c r="C102" s="125"/>
      <c r="D102" s="125"/>
      <c r="E102" s="125"/>
      <c r="F102" s="125"/>
    </row>
    <row r="103" spans="2:6" s="83" customFormat="1" ht="14.5" customHeight="1" x14ac:dyDescent="0.35"/>
    <row r="104" spans="2:6" ht="14.5" customHeight="1" x14ac:dyDescent="0.35">
      <c r="B104" s="131" t="s">
        <v>412</v>
      </c>
      <c r="C104" s="131"/>
      <c r="D104" s="21"/>
      <c r="E104" s="85" t="s">
        <v>70</v>
      </c>
      <c r="F104" s="17">
        <f>F53*F55/($F$53*$F$55+$F$61*$F$63+$F$69*$F$71)</f>
        <v>0.2</v>
      </c>
    </row>
    <row r="105" spans="2:6" ht="14.5" customHeight="1" x14ac:dyDescent="0.35">
      <c r="B105" s="131" t="s">
        <v>413</v>
      </c>
      <c r="C105" s="131"/>
      <c r="D105" s="21"/>
      <c r="E105" s="85" t="s">
        <v>70</v>
      </c>
      <c r="F105" s="17">
        <f>F61*F63/($F$53*$F$55+$F$61*$F$63+$F$69*$F$71)</f>
        <v>0.33333333333333331</v>
      </c>
    </row>
    <row r="106" spans="2:6" ht="14.5" customHeight="1" x14ac:dyDescent="0.35">
      <c r="B106" s="131" t="s">
        <v>414</v>
      </c>
      <c r="C106" s="131"/>
      <c r="D106" s="21"/>
      <c r="E106" s="85" t="s">
        <v>70</v>
      </c>
      <c r="F106" s="17">
        <f>F69*F71/($F$53*$F$55+$F$61*$F$63+$F$69*$F$71)</f>
        <v>0.46666666666666667</v>
      </c>
    </row>
    <row r="107" spans="2:6" ht="14.5" customHeight="1" x14ac:dyDescent="0.35">
      <c r="D107" s="21"/>
    </row>
    <row r="108" spans="2:6" ht="14.5" customHeight="1" x14ac:dyDescent="0.35">
      <c r="B108" s="131" t="s">
        <v>176</v>
      </c>
      <c r="C108" s="131"/>
      <c r="D108" s="21"/>
      <c r="E108" s="19" t="s">
        <v>99</v>
      </c>
      <c r="F108" s="24">
        <f>F104*$F$14</f>
        <v>160</v>
      </c>
    </row>
    <row r="109" spans="2:6" ht="14.5" customHeight="1" x14ac:dyDescent="0.35">
      <c r="B109" s="131" t="s">
        <v>177</v>
      </c>
      <c r="C109" s="131"/>
      <c r="D109" s="21"/>
      <c r="E109" s="19" t="s">
        <v>99</v>
      </c>
      <c r="F109" s="24">
        <f>F105*$F$14</f>
        <v>266.66666666666663</v>
      </c>
    </row>
    <row r="110" spans="2:6" ht="14.5" customHeight="1" x14ac:dyDescent="0.35">
      <c r="B110" s="131" t="s">
        <v>178</v>
      </c>
      <c r="C110" s="131"/>
      <c r="D110" s="21"/>
      <c r="E110" s="19" t="s">
        <v>99</v>
      </c>
      <c r="F110" s="24">
        <f>F106*$F$14</f>
        <v>373.33333333333331</v>
      </c>
    </row>
    <row r="111" spans="2:6" ht="14.5" customHeight="1" x14ac:dyDescent="0.35">
      <c r="D111" s="21"/>
    </row>
    <row r="112" spans="2:6" ht="14.5" customHeight="1" x14ac:dyDescent="0.35">
      <c r="B112" s="131" t="s">
        <v>179</v>
      </c>
      <c r="C112" s="131"/>
      <c r="D112" s="21" t="s">
        <v>182</v>
      </c>
      <c r="E112" s="19" t="s">
        <v>98</v>
      </c>
      <c r="F112" s="24">
        <f>F59*F108</f>
        <v>54.399999999999991</v>
      </c>
    </row>
    <row r="113" spans="2:6" ht="14.5" customHeight="1" x14ac:dyDescent="0.35">
      <c r="B113" s="131" t="s">
        <v>180</v>
      </c>
      <c r="C113" s="131"/>
      <c r="D113" s="21" t="s">
        <v>183</v>
      </c>
      <c r="E113" s="19" t="s">
        <v>98</v>
      </c>
      <c r="F113" s="24">
        <f>F67*F109</f>
        <v>90.666666666666657</v>
      </c>
    </row>
    <row r="114" spans="2:6" ht="14.5" customHeight="1" x14ac:dyDescent="0.35">
      <c r="B114" s="131" t="s">
        <v>181</v>
      </c>
      <c r="C114" s="131"/>
      <c r="D114" s="21" t="s">
        <v>184</v>
      </c>
      <c r="E114" s="19" t="s">
        <v>98</v>
      </c>
      <c r="F114" s="24">
        <f>F75*F110</f>
        <v>126.93333333333331</v>
      </c>
    </row>
    <row r="115" spans="2:6" ht="14.5" customHeight="1" x14ac:dyDescent="0.35">
      <c r="D115" s="21"/>
    </row>
    <row r="116" spans="2:6" ht="14.5" customHeight="1" x14ac:dyDescent="0.35">
      <c r="B116" s="131" t="s">
        <v>143</v>
      </c>
      <c r="C116" s="131"/>
      <c r="D116" s="21" t="s">
        <v>254</v>
      </c>
      <c r="E116" s="19" t="s">
        <v>98</v>
      </c>
      <c r="F116" s="24">
        <f>SUM(F112:F114)</f>
        <v>272</v>
      </c>
    </row>
    <row r="117" spans="2:6" ht="14.5" customHeight="1" x14ac:dyDescent="0.35">
      <c r="B117" s="131" t="s">
        <v>132</v>
      </c>
      <c r="C117" s="131"/>
      <c r="D117" s="21" t="s">
        <v>133</v>
      </c>
      <c r="E117" s="19" t="s">
        <v>134</v>
      </c>
      <c r="F117" s="25">
        <v>2.6</v>
      </c>
    </row>
    <row r="118" spans="2:6" ht="14.5" customHeight="1" x14ac:dyDescent="0.35">
      <c r="B118" s="131" t="s">
        <v>565</v>
      </c>
      <c r="C118" s="131"/>
      <c r="D118" s="21" t="s">
        <v>130</v>
      </c>
      <c r="E118" s="19" t="s">
        <v>131</v>
      </c>
      <c r="F118" s="24">
        <f>F116*F117</f>
        <v>707.2</v>
      </c>
    </row>
    <row r="119" spans="2:6" ht="14.5" customHeight="1" x14ac:dyDescent="0.35">
      <c r="E119" s="83" t="s">
        <v>558</v>
      </c>
      <c r="F119" s="74">
        <f>F118/1000</f>
        <v>0.70720000000000005</v>
      </c>
    </row>
    <row r="121" spans="2:6" ht="14.5" customHeight="1" x14ac:dyDescent="0.35">
      <c r="B121" s="125" t="s">
        <v>557</v>
      </c>
      <c r="C121" s="125"/>
      <c r="D121" s="125"/>
      <c r="E121" s="125"/>
      <c r="F121" s="125"/>
    </row>
    <row r="122" spans="2:6" ht="14.5" customHeight="1" x14ac:dyDescent="0.35">
      <c r="B122" s="83"/>
      <c r="C122" s="83"/>
      <c r="D122" s="83"/>
      <c r="E122" s="83"/>
      <c r="F122" s="83"/>
    </row>
    <row r="123" spans="2:6" ht="14.5" customHeight="1" x14ac:dyDescent="0.35">
      <c r="B123" s="131" t="s">
        <v>129</v>
      </c>
      <c r="C123" s="131"/>
      <c r="D123" s="84" t="s">
        <v>130</v>
      </c>
      <c r="E123" s="83" t="s">
        <v>131</v>
      </c>
      <c r="F123" s="24">
        <f>F81+F91+F99+F118</f>
        <v>2155.5969256904345</v>
      </c>
    </row>
    <row r="124" spans="2:6" ht="14.5" customHeight="1" x14ac:dyDescent="0.35">
      <c r="B124" s="83"/>
      <c r="C124" s="83"/>
      <c r="D124" s="83"/>
      <c r="E124" s="83" t="s">
        <v>558</v>
      </c>
      <c r="F124" s="75">
        <f>F123/1000</f>
        <v>2.1555969256904346</v>
      </c>
    </row>
  </sheetData>
  <mergeCells count="113">
    <mergeCell ref="B67:C67"/>
    <mergeCell ref="B79:C79"/>
    <mergeCell ref="B109:C109"/>
    <mergeCell ref="B80:C80"/>
    <mergeCell ref="B81:C81"/>
    <mergeCell ref="G10:H10"/>
    <mergeCell ref="B42:F42"/>
    <mergeCell ref="B44:C44"/>
    <mergeCell ref="G44:H44"/>
    <mergeCell ref="G61:H61"/>
    <mergeCell ref="B62:C62"/>
    <mergeCell ref="B63:C63"/>
    <mergeCell ref="G63:H63"/>
    <mergeCell ref="B64:C64"/>
    <mergeCell ref="G64:H64"/>
    <mergeCell ref="B29:F29"/>
    <mergeCell ref="B31:C31"/>
    <mergeCell ref="B32:C32"/>
    <mergeCell ref="G32:H32"/>
    <mergeCell ref="B33:C33"/>
    <mergeCell ref="G33:H33"/>
    <mergeCell ref="G53:H53"/>
    <mergeCell ref="B34:C34"/>
    <mergeCell ref="B35:C35"/>
    <mergeCell ref="G35:H35"/>
    <mergeCell ref="B36:C36"/>
    <mergeCell ref="B37:C37"/>
    <mergeCell ref="G37:H37"/>
    <mergeCell ref="B38:C38"/>
    <mergeCell ref="B39:C39"/>
    <mergeCell ref="B40:C40"/>
    <mergeCell ref="G34:I34"/>
    <mergeCell ref="B66:C66"/>
    <mergeCell ref="B51:F51"/>
    <mergeCell ref="B53:C53"/>
    <mergeCell ref="B45:C45"/>
    <mergeCell ref="B46:C46"/>
    <mergeCell ref="G46:H46"/>
    <mergeCell ref="B47:C47"/>
    <mergeCell ref="G47:H47"/>
    <mergeCell ref="G55:H55"/>
    <mergeCell ref="B56:C56"/>
    <mergeCell ref="G56:H56"/>
    <mergeCell ref="B57:C57"/>
    <mergeCell ref="B55:C55"/>
    <mergeCell ref="B10:C10"/>
    <mergeCell ref="B2:F2"/>
    <mergeCell ref="B4:C4"/>
    <mergeCell ref="B6:F6"/>
    <mergeCell ref="B8:C8"/>
    <mergeCell ref="B9:C9"/>
    <mergeCell ref="B11:C11"/>
    <mergeCell ref="B12:C12"/>
    <mergeCell ref="B14:C14"/>
    <mergeCell ref="B16:F16"/>
    <mergeCell ref="B18:C18"/>
    <mergeCell ref="B27:C27"/>
    <mergeCell ref="G19:H19"/>
    <mergeCell ref="B20:C20"/>
    <mergeCell ref="G20:H20"/>
    <mergeCell ref="B21:C21"/>
    <mergeCell ref="G21:I21"/>
    <mergeCell ref="B22:C22"/>
    <mergeCell ref="G22:H22"/>
    <mergeCell ref="B19:C19"/>
    <mergeCell ref="B23:C23"/>
    <mergeCell ref="B24:C24"/>
    <mergeCell ref="G24:H24"/>
    <mergeCell ref="B25:C25"/>
    <mergeCell ref="B26:C26"/>
    <mergeCell ref="B69:C69"/>
    <mergeCell ref="G69:H69"/>
    <mergeCell ref="B84:F84"/>
    <mergeCell ref="B94:F94"/>
    <mergeCell ref="B102:F102"/>
    <mergeCell ref="B121:F121"/>
    <mergeCell ref="B86:C86"/>
    <mergeCell ref="B87:C87"/>
    <mergeCell ref="B89:C89"/>
    <mergeCell ref="B90:C90"/>
    <mergeCell ref="B91:C91"/>
    <mergeCell ref="B104:C104"/>
    <mergeCell ref="B105:C105"/>
    <mergeCell ref="B117:C117"/>
    <mergeCell ref="G71:H71"/>
    <mergeCell ref="B72:C72"/>
    <mergeCell ref="G72:H72"/>
    <mergeCell ref="B73:C73"/>
    <mergeCell ref="B74:C74"/>
    <mergeCell ref="B123:C123"/>
    <mergeCell ref="B99:C99"/>
    <mergeCell ref="B48:C48"/>
    <mergeCell ref="B49:C49"/>
    <mergeCell ref="B96:C96"/>
    <mergeCell ref="B97:C97"/>
    <mergeCell ref="B98:C98"/>
    <mergeCell ref="B58:C58"/>
    <mergeCell ref="B59:C59"/>
    <mergeCell ref="B61:C61"/>
    <mergeCell ref="B70:C70"/>
    <mergeCell ref="B71:C71"/>
    <mergeCell ref="B106:C106"/>
    <mergeCell ref="B108:C108"/>
    <mergeCell ref="B118:C118"/>
    <mergeCell ref="B110:C110"/>
    <mergeCell ref="B112:C112"/>
    <mergeCell ref="B113:C113"/>
    <mergeCell ref="B114:C114"/>
    <mergeCell ref="B116:C116"/>
    <mergeCell ref="B54:C54"/>
    <mergeCell ref="B75:C75"/>
    <mergeCell ref="B77:F77"/>
    <mergeCell ref="B65:C6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D7F94F6-4DC0-4D6C-B78D-5ADE72FA0EC5}">
          <x14:formula1>
            <xm:f>prms!$B$5:$B$29</xm:f>
          </x14:formula1>
          <xm:sqref>F10</xm:sqref>
        </x14:dataValidation>
        <x14:dataValidation type="list" allowBlank="1" showInputMessage="1" showErrorMessage="1" xr:uid="{49CDB7CE-E0E0-4303-960E-C13A9955208F}">
          <x14:formula1>
            <xm:f>prms!$V$5:$V$7</xm:f>
          </x14:formula1>
          <xm:sqref>F18</xm:sqref>
        </x14:dataValidation>
        <x14:dataValidation type="list" allowBlank="1" showInputMessage="1" showErrorMessage="1" xr:uid="{52417025-8D5F-41E1-9702-C563C7614FB5}">
          <x14:formula1>
            <xm:f>prms!$Q$5:$Q$10</xm:f>
          </x14:formula1>
          <xm:sqref>F31</xm:sqref>
        </x14:dataValidation>
        <x14:dataValidation type="list" allowBlank="1" showInputMessage="1" showErrorMessage="1" xr:uid="{F1F22E52-8605-400F-9A01-18F2BD9F5622}">
          <x14:formula1>
            <xm:f>prms!$AA$5:$AA$9</xm:f>
          </x14:formula1>
          <xm:sqref>F54 F62 F70</xm:sqref>
        </x14:dataValidation>
        <x14:dataValidation type="list" allowBlank="1" showInputMessage="1" showErrorMessage="1" xr:uid="{9B13FA51-2365-4951-9C16-8E0F6719B8A2}">
          <x14:formula1>
            <xm:f>prms!$AF$5</xm:f>
          </x14:formula1>
          <xm:sqref>F45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0834-31F2-4DC7-87BA-E8771A2D437C}">
  <dimension ref="B2:I123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19"/>
    <col min="2" max="3" width="15.6328125" style="19" customWidth="1"/>
    <col min="4" max="4" width="12.6328125" style="19" customWidth="1"/>
    <col min="5" max="5" width="12.6328125" style="19"/>
    <col min="6" max="6" width="20.6328125" style="19" customWidth="1"/>
    <col min="7" max="9" width="12.6328125" style="19" customWidth="1"/>
    <col min="10" max="16384" width="12.6328125" style="19"/>
  </cols>
  <sheetData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19" t="s">
        <v>0</v>
      </c>
      <c r="F4" s="19">
        <v>1000</v>
      </c>
    </row>
    <row r="6" spans="2:8" ht="14.5" customHeight="1" x14ac:dyDescent="0.35">
      <c r="B6" s="133" t="s">
        <v>416</v>
      </c>
      <c r="C6" s="133"/>
      <c r="D6" s="133"/>
      <c r="E6" s="133"/>
      <c r="F6" s="133"/>
    </row>
    <row r="7" spans="2:8" ht="14.5" customHeight="1" x14ac:dyDescent="0.35">
      <c r="B7" s="8"/>
      <c r="C7" s="8"/>
      <c r="D7" s="8"/>
      <c r="E7" s="8"/>
      <c r="F7" s="8"/>
    </row>
    <row r="8" spans="2:8" ht="14.5" customHeight="1" x14ac:dyDescent="0.35">
      <c r="B8" s="131" t="s">
        <v>417</v>
      </c>
      <c r="C8" s="131"/>
      <c r="D8" s="12"/>
      <c r="E8" s="19" t="s">
        <v>0</v>
      </c>
      <c r="F8" s="3">
        <v>16</v>
      </c>
    </row>
    <row r="9" spans="2:8" ht="14.5" customHeight="1" x14ac:dyDescent="0.35">
      <c r="B9" s="131" t="s">
        <v>418</v>
      </c>
      <c r="C9" s="131"/>
      <c r="D9" s="12"/>
      <c r="E9" s="19" t="s">
        <v>0</v>
      </c>
      <c r="F9" s="3">
        <v>0.04</v>
      </c>
    </row>
    <row r="10" spans="2:8" ht="14.5" customHeight="1" x14ac:dyDescent="0.35">
      <c r="B10" s="135" t="s">
        <v>379</v>
      </c>
      <c r="C10" s="135"/>
      <c r="D10" s="7"/>
      <c r="E10" s="22" t="s">
        <v>559</v>
      </c>
      <c r="F10" s="3" t="s">
        <v>370</v>
      </c>
      <c r="G10" s="132" t="s">
        <v>464</v>
      </c>
      <c r="H10" s="132"/>
    </row>
    <row r="11" spans="2:8" ht="14.5" customHeight="1" x14ac:dyDescent="0.35">
      <c r="B11" s="134" t="s">
        <v>3</v>
      </c>
      <c r="C11" s="134"/>
      <c r="D11" s="34" t="s">
        <v>380</v>
      </c>
      <c r="E11" s="21" t="s">
        <v>29</v>
      </c>
      <c r="F11" s="19">
        <f xml:space="preserve">
IF(
F10=prms!$B$5,prms!$C$5,
IF(F10=prms!$B$6,prms!$C$6,
IF(F10=prms!$B$7,prms!$C$7,
IF(F10=prms!$B$8,prms!$C$8,
IF(F10=prms!$B$9,prms!$C$9,
IF(F10=prms!$B$10,prms!$C$10,
IF(F10=prms!$B$11,prms!$C$11,
IF(F10=prms!$B$12,prms!$C$12,
IF(F10=prms!$B$13,prms!$C$13,
IF(F10=prms!$B$14,prms!$C$14,
IF(F10=prms!$B$15,prms!$C$15,
IF(F10=prms!$B$16,prms!$C$16,
IF(F10=prms!$B$17,prms!$C$17,
IF(F10=prms!$B$18,prms!$C$18,
IF(F10=prms!$B$19,prms!$C$19,
IF(F10=prms!$B$20,prms!$C$20,
IF(F10=prms!$B$21,prms!$C$21,
IF(F10=prms!$B$22,prms!$C$22,
IF(F10=prms!$B$23,prms!$C$23,
IF(F10=prms!$B$24,prms!$C$24,
IF(F10=prms!$B$25,prms!$C$25,
IF(F10=prms!$B$26,prms!$C$26,
IF(F10=prms!$B$27,prms!$C$27,
IF(F10=prms!$B$28,prms!$C$28,
IF(F10=prms!$B$29,prms!$C$29,
)))))))))))))))))))))))))</f>
        <v>2200</v>
      </c>
    </row>
    <row r="12" spans="2:8" ht="14.5" customHeight="1" x14ac:dyDescent="0.35">
      <c r="B12" s="134" t="s">
        <v>4</v>
      </c>
      <c r="C12" s="134"/>
      <c r="D12" s="34" t="s">
        <v>381</v>
      </c>
      <c r="E12" s="21" t="s">
        <v>29</v>
      </c>
      <c r="F12" s="19" t="str">
        <f xml:space="preserve">
IF(
F10=prms!$B$5,prms!$D$5,
IF(F10=prms!$B$6,prms!$D$6,
IF(F10=prms!$B$7,prms!$D$7,
IF(F10=prms!$B$8,prms!$D$8,
IF(F10=prms!$B$9,prms!$D$9,
IF(F10=prms!$B$10,prms!$D$10,
IF(F10=prms!$B$11,prms!$D$11,
IF(F10=prms!$B$12,prms!$D$12,
IF(F10=prms!$B$13,prms!$D$13,
IF(F10=prms!$B$14,prms!$D$14,
IF(F10=prms!$B$15,prms!$D$15,
IF(F10=prms!$B$16,prms!$D$16,
IF(F10=prms!$B$17,prms!$D$17,
IF(F10=prms!$B$18,prms!$D$18,
IF(F10=prms!$B$19,prms!$D$19,
IF(F10=prms!$B$20,prms!$D$20,
IF(F10=prms!$B$21,prms!$D$21,
IF(F10=prms!$B$22,prms!$D$22,
IF(F10=prms!$B$23,prms!$D$23,
IF(F10=prms!$B$24,prms!$D$24,
IF(F10=prms!$B$25,prms!$D$25,
IF(F10=prms!$B$26,prms!$D$26,
IF(F10=prms!$B$27,prms!$D$27,
IF(F10=prms!$B$28,prms!$D$28,
IF(F10=prms!$B$29,prms!$D$29)))))))))))))))))))))))))</f>
        <v>/</v>
      </c>
    </row>
    <row r="13" spans="2:8" ht="14.5" customHeight="1" x14ac:dyDescent="0.35">
      <c r="B13" s="21"/>
      <c r="C13" s="21"/>
      <c r="D13" s="34"/>
      <c r="E13" s="21"/>
    </row>
    <row r="14" spans="2:8" ht="14.5" customHeight="1" x14ac:dyDescent="0.35">
      <c r="B14" s="134" t="s">
        <v>566</v>
      </c>
      <c r="C14" s="134"/>
      <c r="D14" s="34"/>
      <c r="E14" s="21" t="s">
        <v>99</v>
      </c>
      <c r="F14" s="19">
        <f>F4*F8*F9</f>
        <v>640</v>
      </c>
    </row>
    <row r="15" spans="2:8" ht="14.5" customHeight="1" x14ac:dyDescent="0.35">
      <c r="B15" s="21"/>
      <c r="C15" s="21"/>
      <c r="D15" s="34"/>
      <c r="E15" s="21"/>
    </row>
    <row r="16" spans="2:8" ht="14.5" customHeight="1" x14ac:dyDescent="0.35">
      <c r="B16" s="133" t="s">
        <v>383</v>
      </c>
      <c r="C16" s="133"/>
      <c r="D16" s="133"/>
      <c r="E16" s="133"/>
      <c r="F16" s="133"/>
    </row>
    <row r="17" spans="2:9" ht="14.5" customHeight="1" x14ac:dyDescent="0.35">
      <c r="B17" s="8"/>
      <c r="C17" s="8"/>
      <c r="D17" s="8"/>
      <c r="E17" s="8"/>
      <c r="F17" s="8"/>
    </row>
    <row r="18" spans="2:9" ht="14.5" customHeight="1" x14ac:dyDescent="0.35">
      <c r="B18" s="131" t="s">
        <v>398</v>
      </c>
      <c r="C18" s="131"/>
      <c r="D18" s="35"/>
      <c r="E18" s="85" t="s">
        <v>559</v>
      </c>
      <c r="F18" s="3" t="s">
        <v>385</v>
      </c>
      <c r="G18" s="32"/>
      <c r="H18" s="32"/>
    </row>
    <row r="19" spans="2:9" ht="14.5" customHeight="1" x14ac:dyDescent="0.35">
      <c r="B19" s="131" t="s">
        <v>37</v>
      </c>
      <c r="C19" s="131"/>
      <c r="D19" s="21"/>
      <c r="E19" s="19" t="s">
        <v>38</v>
      </c>
      <c r="F19" s="3">
        <v>40</v>
      </c>
      <c r="G19" s="132" t="s">
        <v>84</v>
      </c>
      <c r="H19" s="132"/>
      <c r="I19" s="26" t="str">
        <f>IF(F18=prms!$V$5,prms!$W$5, IF('2 WEAR'!F18=prms!$V$6,prms!$W$6,IF('2 WEAR'!F18=prms!$V$7,prms!$W$7,1 )))</f>
        <v>34 - 55</v>
      </c>
    </row>
    <row r="20" spans="2:9" ht="14.5" customHeight="1" x14ac:dyDescent="0.35">
      <c r="B20" s="131" t="s">
        <v>395</v>
      </c>
      <c r="C20" s="131"/>
      <c r="D20" s="21"/>
      <c r="E20" s="19" t="s">
        <v>99</v>
      </c>
      <c r="F20" s="25">
        <v>3.5</v>
      </c>
      <c r="G20" s="132" t="s">
        <v>84</v>
      </c>
      <c r="H20" s="132"/>
      <c r="I20" s="26" t="str">
        <f>IF(F18=prms!$V$5,prms!$Y$5, IF('2 WEAR'!F18=prms!$V$6,prms!$Y$6,IF('2 WEAR'!F18=prms!$V$7,prms!$Y$7,1 )))</f>
        <v>3 - 4</v>
      </c>
    </row>
    <row r="21" spans="2:9" ht="14.5" customHeight="1" x14ac:dyDescent="0.35">
      <c r="B21" s="131" t="s">
        <v>45</v>
      </c>
      <c r="C21" s="131"/>
      <c r="D21" s="21" t="s">
        <v>400</v>
      </c>
      <c r="E21" s="19" t="s">
        <v>46</v>
      </c>
      <c r="F21" s="3">
        <v>0.25</v>
      </c>
      <c r="G21" s="132" t="s">
        <v>83</v>
      </c>
      <c r="H21" s="132"/>
      <c r="I21" s="132"/>
    </row>
    <row r="22" spans="2:9" ht="14.5" customHeight="1" x14ac:dyDescent="0.35">
      <c r="B22" s="131" t="s">
        <v>209</v>
      </c>
      <c r="C22" s="131"/>
      <c r="D22" s="21" t="s">
        <v>401</v>
      </c>
      <c r="E22" s="19" t="s">
        <v>286</v>
      </c>
      <c r="F22" s="3">
        <v>2</v>
      </c>
      <c r="G22" s="132" t="s">
        <v>84</v>
      </c>
      <c r="H22" s="132"/>
      <c r="I22" s="26" t="s">
        <v>211</v>
      </c>
    </row>
    <row r="23" spans="2:9" ht="14.5" customHeight="1" x14ac:dyDescent="0.35">
      <c r="B23" s="131" t="s">
        <v>79</v>
      </c>
      <c r="C23" s="131"/>
      <c r="D23" s="21" t="s">
        <v>402</v>
      </c>
      <c r="E23" s="19" t="s">
        <v>80</v>
      </c>
      <c r="F23" s="3">
        <v>0.85</v>
      </c>
      <c r="G23" s="20"/>
      <c r="H23" s="20"/>
      <c r="I23" s="20"/>
    </row>
    <row r="24" spans="2:9" ht="14.5" customHeight="1" x14ac:dyDescent="0.35">
      <c r="B24" s="131" t="s">
        <v>81</v>
      </c>
      <c r="C24" s="131"/>
      <c r="D24" s="21" t="s">
        <v>403</v>
      </c>
      <c r="E24" s="19" t="s">
        <v>82</v>
      </c>
      <c r="F24" s="18">
        <v>0.01</v>
      </c>
      <c r="G24" s="132" t="s">
        <v>84</v>
      </c>
      <c r="H24" s="132"/>
      <c r="I24" s="26" t="s">
        <v>85</v>
      </c>
    </row>
    <row r="25" spans="2:9" ht="14.5" customHeight="1" x14ac:dyDescent="0.35">
      <c r="B25" s="131" t="s">
        <v>332</v>
      </c>
      <c r="C25" s="131"/>
      <c r="D25" s="21" t="s">
        <v>404</v>
      </c>
      <c r="E25" s="19" t="s">
        <v>70</v>
      </c>
      <c r="F25" s="17">
        <f>0.05862*EXP(0.00101*$F$11)</f>
        <v>0.54081428301620915</v>
      </c>
      <c r="G25" s="20"/>
      <c r="H25" s="20"/>
      <c r="I25" s="20"/>
    </row>
    <row r="26" spans="2:9" ht="14.5" customHeight="1" x14ac:dyDescent="0.35">
      <c r="B26" s="131" t="s">
        <v>78</v>
      </c>
      <c r="C26" s="131"/>
      <c r="D26" s="21" t="s">
        <v>405</v>
      </c>
      <c r="E26" s="19" t="s">
        <v>70</v>
      </c>
      <c r="F26" s="30">
        <f>0.00868*F22+0.15333</f>
        <v>0.17069000000000001</v>
      </c>
    </row>
    <row r="27" spans="2:9" ht="14.5" customHeight="1" x14ac:dyDescent="0.35">
      <c r="B27" s="131" t="s">
        <v>96</v>
      </c>
      <c r="C27" s="131"/>
      <c r="D27" s="21" t="s">
        <v>406</v>
      </c>
      <c r="E27" s="19" t="s">
        <v>88</v>
      </c>
      <c r="F27" s="16">
        <f>F19*F21*( F25+F26 )/2*1/F23*F24</f>
        <v>4.1853193118600543E-2</v>
      </c>
    </row>
    <row r="28" spans="2:9" ht="14.5" customHeight="1" x14ac:dyDescent="0.35">
      <c r="D28" s="21"/>
    </row>
    <row r="29" spans="2:9" ht="14.5" customHeight="1" x14ac:dyDescent="0.35">
      <c r="B29" s="133" t="s">
        <v>283</v>
      </c>
      <c r="C29" s="133"/>
      <c r="D29" s="133"/>
      <c r="E29" s="133"/>
      <c r="F29" s="133"/>
    </row>
    <row r="30" spans="2:9" ht="14.5" customHeight="1" x14ac:dyDescent="0.35">
      <c r="B30" s="8"/>
      <c r="C30" s="8"/>
      <c r="D30" s="8"/>
      <c r="E30" s="8"/>
      <c r="F30" s="8"/>
    </row>
    <row r="31" spans="2:9" ht="14.5" customHeight="1" x14ac:dyDescent="0.35">
      <c r="B31" s="131" t="s">
        <v>285</v>
      </c>
      <c r="C31" s="131"/>
      <c r="D31" s="8"/>
      <c r="E31" s="85" t="s">
        <v>559</v>
      </c>
      <c r="F31" s="33" t="s">
        <v>261</v>
      </c>
    </row>
    <row r="32" spans="2:9" ht="14.5" customHeight="1" x14ac:dyDescent="0.35">
      <c r="B32" s="131" t="s">
        <v>37</v>
      </c>
      <c r="C32" s="131"/>
      <c r="E32" s="19" t="s">
        <v>38</v>
      </c>
      <c r="F32" s="3">
        <v>70</v>
      </c>
      <c r="G32" s="132" t="s">
        <v>84</v>
      </c>
      <c r="H32" s="132"/>
      <c r="I32" s="32" t="str">
        <f>IF($F$31=prms!$Q$5,prms!$R$5,IF($F$31=prms!Q6,prms!$R$6,IF($F$31=prms!$Q$7,prms!$R$7,IF($F$31=prms!$Q$8,prms!$R$8,IF($F$31=prms!$Q$9,prms!R$9,IF($F$31=prms!$Q$10,prms!$R$10,1))))))</f>
        <v>51 - 100</v>
      </c>
    </row>
    <row r="33" spans="2:9" ht="14.5" customHeight="1" x14ac:dyDescent="0.35">
      <c r="B33" s="131" t="s">
        <v>256</v>
      </c>
      <c r="C33" s="131"/>
      <c r="E33" s="19" t="s">
        <v>0</v>
      </c>
      <c r="F33" s="25">
        <v>1.8</v>
      </c>
      <c r="G33" s="132" t="s">
        <v>84</v>
      </c>
      <c r="H33" s="132"/>
      <c r="I33" s="32" t="str">
        <f>IF($F$31=prms!$Q$5,prms!$S$5,IF($F$31=prms!$Q$6,prms!$S$6,IF($F$31=prms!$Q$7,prms!$S$7,IF($F$31=prms!$Q$8,prms!$S$8,IF($F$31=prms!$Q$9,prms!$S$9,IF($F$31=prms!$Q$10,prms!$S$10,1))))))</f>
        <v>1.13 - 2.13</v>
      </c>
    </row>
    <row r="34" spans="2:9" ht="14.5" customHeight="1" x14ac:dyDescent="0.35">
      <c r="B34" s="131" t="s">
        <v>45</v>
      </c>
      <c r="C34" s="131"/>
      <c r="D34" s="19" t="s">
        <v>330</v>
      </c>
      <c r="E34" s="19" t="s">
        <v>46</v>
      </c>
      <c r="F34" s="3">
        <v>0.25</v>
      </c>
      <c r="G34" s="132" t="s">
        <v>83</v>
      </c>
      <c r="H34" s="132"/>
      <c r="I34" s="132"/>
    </row>
    <row r="35" spans="2:9" ht="14.5" customHeight="1" x14ac:dyDescent="0.35">
      <c r="B35" s="131" t="s">
        <v>209</v>
      </c>
      <c r="C35" s="131"/>
      <c r="D35" s="19" t="s">
        <v>287</v>
      </c>
      <c r="E35" s="19" t="s">
        <v>286</v>
      </c>
      <c r="F35" s="3">
        <v>2</v>
      </c>
      <c r="G35" s="132" t="s">
        <v>84</v>
      </c>
      <c r="H35" s="132"/>
      <c r="I35" s="26" t="s">
        <v>211</v>
      </c>
    </row>
    <row r="36" spans="2:9" ht="14.5" customHeight="1" x14ac:dyDescent="0.35">
      <c r="B36" s="131" t="s">
        <v>79</v>
      </c>
      <c r="C36" s="131"/>
      <c r="D36" s="34" t="s">
        <v>288</v>
      </c>
      <c r="E36" s="19" t="s">
        <v>80</v>
      </c>
      <c r="F36" s="3">
        <v>0.85</v>
      </c>
      <c r="G36" s="20"/>
      <c r="H36" s="20"/>
      <c r="I36" s="20"/>
    </row>
    <row r="37" spans="2:9" ht="14.5" customHeight="1" x14ac:dyDescent="0.35">
      <c r="B37" s="131" t="s">
        <v>81</v>
      </c>
      <c r="C37" s="131"/>
      <c r="D37" s="11" t="s">
        <v>331</v>
      </c>
      <c r="E37" s="19" t="s">
        <v>82</v>
      </c>
      <c r="F37" s="18">
        <v>0.01</v>
      </c>
      <c r="G37" s="132" t="s">
        <v>84</v>
      </c>
      <c r="H37" s="132"/>
      <c r="I37" s="26" t="s">
        <v>85</v>
      </c>
    </row>
    <row r="38" spans="2:9" ht="14.5" customHeight="1" x14ac:dyDescent="0.35">
      <c r="B38" s="131" t="s">
        <v>332</v>
      </c>
      <c r="C38" s="131"/>
      <c r="D38" s="19" t="s">
        <v>333</v>
      </c>
      <c r="E38" s="19" t="s">
        <v>70</v>
      </c>
      <c r="F38" s="17">
        <f>0.05173*EXP(0.00142*$F$11)</f>
        <v>1.1761925923034571</v>
      </c>
      <c r="G38" s="20"/>
      <c r="H38" s="20"/>
      <c r="I38" s="20"/>
    </row>
    <row r="39" spans="2:9" ht="14.5" customHeight="1" x14ac:dyDescent="0.35">
      <c r="B39" s="131" t="s">
        <v>78</v>
      </c>
      <c r="C39" s="131"/>
      <c r="D39" s="19" t="s">
        <v>334</v>
      </c>
      <c r="E39" s="19" t="s">
        <v>70</v>
      </c>
      <c r="F39" s="30">
        <f>0.21032*F35^0.4321</f>
        <v>0.28376291328699671</v>
      </c>
    </row>
    <row r="40" spans="2:9" ht="14.5" customHeight="1" x14ac:dyDescent="0.35">
      <c r="B40" s="131" t="s">
        <v>96</v>
      </c>
      <c r="C40" s="131"/>
      <c r="D40" s="19" t="s">
        <v>335</v>
      </c>
      <c r="E40" s="19" t="s">
        <v>88</v>
      </c>
      <c r="F40" s="16">
        <f>F32*F34*( F38 +F39 )/2*1/F36*F37</f>
        <v>0.15028953734019376</v>
      </c>
    </row>
    <row r="41" spans="2:9" s="83" customFormat="1" ht="14.5" customHeight="1" x14ac:dyDescent="0.35">
      <c r="F41" s="16"/>
    </row>
    <row r="42" spans="2:9" s="83" customFormat="1" ht="14.5" customHeight="1" x14ac:dyDescent="0.35">
      <c r="B42" s="133" t="s">
        <v>517</v>
      </c>
      <c r="C42" s="133"/>
      <c r="D42" s="133"/>
      <c r="E42" s="133"/>
      <c r="F42" s="133"/>
      <c r="G42" s="59"/>
      <c r="H42" s="59"/>
      <c r="I42" s="59"/>
    </row>
    <row r="43" spans="2:9" s="83" customFormat="1" ht="14.5" customHeight="1" x14ac:dyDescent="0.35">
      <c r="B43" s="59"/>
      <c r="C43" s="59"/>
      <c r="D43" s="59"/>
      <c r="E43" s="59"/>
      <c r="F43" s="16"/>
      <c r="G43" s="59"/>
      <c r="H43" s="59"/>
      <c r="I43" s="59"/>
    </row>
    <row r="44" spans="2:9" s="83" customFormat="1" ht="14.5" customHeight="1" x14ac:dyDescent="0.35">
      <c r="B44" s="131" t="s">
        <v>497</v>
      </c>
      <c r="C44" s="131"/>
      <c r="D44" s="12"/>
      <c r="E44" s="61" t="s">
        <v>70</v>
      </c>
      <c r="F44" s="3">
        <v>1</v>
      </c>
      <c r="G44" s="132" t="s">
        <v>101</v>
      </c>
      <c r="H44" s="132"/>
      <c r="I44" s="59"/>
    </row>
    <row r="45" spans="2:9" s="83" customFormat="1" ht="14.5" customHeight="1" x14ac:dyDescent="0.35">
      <c r="B45" s="131" t="s">
        <v>498</v>
      </c>
      <c r="C45" s="131"/>
      <c r="D45" s="35"/>
      <c r="E45" s="85" t="s">
        <v>559</v>
      </c>
      <c r="F45" s="18" t="s">
        <v>500</v>
      </c>
      <c r="G45" s="59"/>
      <c r="H45" s="59"/>
      <c r="I45" s="59"/>
    </row>
    <row r="46" spans="2:9" s="83" customFormat="1" ht="14.5" customHeight="1" x14ac:dyDescent="0.35">
      <c r="B46" s="131" t="s">
        <v>81</v>
      </c>
      <c r="C46" s="131"/>
      <c r="D46" s="62" t="s">
        <v>531</v>
      </c>
      <c r="E46" s="59" t="s">
        <v>503</v>
      </c>
      <c r="F46" s="28">
        <v>150</v>
      </c>
      <c r="G46" s="132" t="s">
        <v>84</v>
      </c>
      <c r="H46" s="132"/>
      <c r="I46" s="60" t="str">
        <f>IF(F45=prms!$AF$5,prms!$AG$5, 1)</f>
        <v>100 - 200</v>
      </c>
    </row>
    <row r="47" spans="2:9" s="83" customFormat="1" ht="14.5" customHeight="1" x14ac:dyDescent="0.35">
      <c r="B47" s="131" t="s">
        <v>143</v>
      </c>
      <c r="C47" s="131"/>
      <c r="D47" s="62" t="s">
        <v>512</v>
      </c>
      <c r="E47" s="62" t="s">
        <v>504</v>
      </c>
      <c r="F47" s="28">
        <v>2</v>
      </c>
      <c r="G47" s="132" t="s">
        <v>84</v>
      </c>
      <c r="H47" s="132"/>
      <c r="I47" s="60" t="str">
        <f>IF(F45=prms!$AF$5,prms!$AH$5, 1)</f>
        <v>1 -3</v>
      </c>
    </row>
    <row r="48" spans="2:9" s="83" customFormat="1" ht="14.5" customHeight="1" x14ac:dyDescent="0.35">
      <c r="B48" s="131" t="s">
        <v>514</v>
      </c>
      <c r="C48" s="131"/>
      <c r="D48" s="62"/>
      <c r="E48" s="59" t="s">
        <v>0</v>
      </c>
      <c r="F48" s="18">
        <v>5.0000000000000001E-3</v>
      </c>
      <c r="G48" s="59"/>
      <c r="H48" s="59"/>
      <c r="I48" s="59"/>
    </row>
    <row r="49" spans="2:9" s="83" customFormat="1" ht="14.5" customHeight="1" x14ac:dyDescent="0.35">
      <c r="B49" s="131" t="s">
        <v>506</v>
      </c>
      <c r="C49" s="131"/>
      <c r="D49" s="59"/>
      <c r="E49" s="59" t="s">
        <v>99</v>
      </c>
      <c r="F49" s="24">
        <f>F48*$F$4*$F$8</f>
        <v>80</v>
      </c>
      <c r="G49" s="59"/>
      <c r="H49" s="59"/>
      <c r="I49" s="59"/>
    </row>
    <row r="50" spans="2:9" s="83" customFormat="1" ht="14.5" customHeight="1" x14ac:dyDescent="0.35">
      <c r="F50" s="16"/>
    </row>
    <row r="51" spans="2:9" ht="14.5" customHeight="1" x14ac:dyDescent="0.35">
      <c r="B51" s="133" t="s">
        <v>407</v>
      </c>
      <c r="C51" s="133"/>
      <c r="D51" s="133"/>
      <c r="E51" s="133"/>
      <c r="F51" s="133"/>
    </row>
    <row r="52" spans="2:9" ht="14.5" customHeight="1" x14ac:dyDescent="0.35">
      <c r="F52" s="16"/>
    </row>
    <row r="53" spans="2:9" ht="14.5" customHeight="1" x14ac:dyDescent="0.35">
      <c r="B53" s="131" t="s">
        <v>148</v>
      </c>
      <c r="C53" s="131"/>
      <c r="D53" s="12"/>
      <c r="E53" s="22" t="s">
        <v>70</v>
      </c>
      <c r="F53" s="3">
        <v>1</v>
      </c>
      <c r="G53" s="132" t="s">
        <v>101</v>
      </c>
      <c r="H53" s="132"/>
    </row>
    <row r="54" spans="2:9" ht="14.5" customHeight="1" x14ac:dyDescent="0.35">
      <c r="B54" s="131" t="s">
        <v>149</v>
      </c>
      <c r="C54" s="131"/>
      <c r="D54" s="35"/>
      <c r="E54" s="85" t="s">
        <v>559</v>
      </c>
      <c r="F54" s="18" t="s">
        <v>135</v>
      </c>
    </row>
    <row r="55" spans="2:9" ht="14.5" customHeight="1" x14ac:dyDescent="0.35">
      <c r="B55" s="131" t="s">
        <v>160</v>
      </c>
      <c r="C55" s="131"/>
      <c r="D55" s="21" t="s">
        <v>161</v>
      </c>
      <c r="E55" s="19" t="s">
        <v>99</v>
      </c>
      <c r="F55" s="27">
        <v>7.5</v>
      </c>
      <c r="G55" s="132" t="s">
        <v>84</v>
      </c>
      <c r="H55" s="132"/>
      <c r="I55" s="26" t="str">
        <f>IF(F54=prms!$AA$5,prms!$AC$5, IF(F54=prms!$AA$6,prms!$AC$6, IF(F54=prms!$AA$7,prms!$AC$7, IF(F54=prms!$AA$8,prms!$AC$8,IF(F54=prms!$AA$9,prms!$AC$9,1)))))</f>
        <v>5 - 10</v>
      </c>
    </row>
    <row r="56" spans="2:9" ht="14.5" customHeight="1" x14ac:dyDescent="0.35">
      <c r="B56" s="131" t="s">
        <v>143</v>
      </c>
      <c r="C56" s="131"/>
      <c r="D56" s="21" t="s">
        <v>164</v>
      </c>
      <c r="E56" s="21" t="s">
        <v>144</v>
      </c>
      <c r="F56" s="25">
        <v>0.15</v>
      </c>
      <c r="G56" s="132" t="s">
        <v>84</v>
      </c>
      <c r="H56" s="132"/>
      <c r="I56" s="26" t="str">
        <f>IF(F54=prms!$AA$5,prms!$AD$5, IF(F54=prms!$AA$6,prms!$AD$6, IF(F54=prms!$AA$7,prms!$AD$7, IF(F54=prms!$AA$8,prms!$AD$8,IF(F54=prms!$AA$9,prms!$AD$9,1)))))</f>
        <v>0.2 - 0.1</v>
      </c>
    </row>
    <row r="57" spans="2:9" ht="14.5" customHeight="1" x14ac:dyDescent="0.35">
      <c r="B57" s="131" t="s">
        <v>151</v>
      </c>
      <c r="C57" s="131"/>
      <c r="D57" s="21" t="s">
        <v>163</v>
      </c>
      <c r="E57" s="19" t="s">
        <v>152</v>
      </c>
      <c r="F57" s="28">
        <v>10</v>
      </c>
    </row>
    <row r="58" spans="2:9" ht="14.5" customHeight="1" x14ac:dyDescent="0.35">
      <c r="B58" s="131" t="s">
        <v>159</v>
      </c>
      <c r="C58" s="131"/>
      <c r="D58" s="21" t="s">
        <v>165</v>
      </c>
      <c r="E58" s="19" t="s">
        <v>70</v>
      </c>
      <c r="F58" s="27">
        <v>1.7</v>
      </c>
    </row>
    <row r="59" spans="2:9" ht="14.5" customHeight="1" x14ac:dyDescent="0.35">
      <c r="B59" s="131" t="s">
        <v>96</v>
      </c>
      <c r="C59" s="131"/>
      <c r="D59" s="21" t="s">
        <v>308</v>
      </c>
      <c r="E59" s="19" t="s">
        <v>88</v>
      </c>
      <c r="F59" s="16">
        <f>F58*F57*F56/F55</f>
        <v>0.33999999999999997</v>
      </c>
    </row>
    <row r="60" spans="2:9" ht="14.5" customHeight="1" x14ac:dyDescent="0.35">
      <c r="D60" s="21"/>
      <c r="F60" s="16"/>
    </row>
    <row r="61" spans="2:9" ht="14.5" customHeight="1" x14ac:dyDescent="0.35">
      <c r="B61" s="131" t="s">
        <v>166</v>
      </c>
      <c r="C61" s="131"/>
      <c r="D61" s="35"/>
      <c r="E61" s="22" t="s">
        <v>70</v>
      </c>
      <c r="F61" s="3">
        <v>1</v>
      </c>
      <c r="G61" s="132" t="s">
        <v>101</v>
      </c>
      <c r="H61" s="132"/>
    </row>
    <row r="62" spans="2:9" ht="14.5" customHeight="1" x14ac:dyDescent="0.35">
      <c r="B62" s="131" t="s">
        <v>167</v>
      </c>
      <c r="C62" s="131"/>
      <c r="D62" s="35"/>
      <c r="E62" s="85" t="s">
        <v>559</v>
      </c>
      <c r="F62" s="18" t="s">
        <v>136</v>
      </c>
    </row>
    <row r="63" spans="2:9" ht="14.5" customHeight="1" x14ac:dyDescent="0.35">
      <c r="B63" s="131" t="s">
        <v>160</v>
      </c>
      <c r="C63" s="131"/>
      <c r="D63" s="21" t="s">
        <v>168</v>
      </c>
      <c r="E63" s="19" t="s">
        <v>99</v>
      </c>
      <c r="F63" s="27">
        <v>12.5</v>
      </c>
      <c r="G63" s="132" t="s">
        <v>84</v>
      </c>
      <c r="H63" s="132"/>
      <c r="I63" s="26" t="str">
        <f>IF(F62=prms!$AA$5,prms!$AC$5, IF(F62=prms!$AA$6,prms!$AC$6, IF(F62=prms!$AA$7,prms!$AC$7, IF(F62=prms!$AA$8,prms!$AC$8,IF(F62=prms!$AA$9,prms!$AC$9,1)))))</f>
        <v>10 - 15</v>
      </c>
    </row>
    <row r="64" spans="2:9" ht="14.5" customHeight="1" x14ac:dyDescent="0.35">
      <c r="B64" s="131" t="s">
        <v>143</v>
      </c>
      <c r="C64" s="131"/>
      <c r="D64" s="21" t="s">
        <v>169</v>
      </c>
      <c r="E64" s="21" t="s">
        <v>144</v>
      </c>
      <c r="F64" s="25">
        <v>0.25</v>
      </c>
      <c r="G64" s="132" t="s">
        <v>84</v>
      </c>
      <c r="H64" s="132"/>
      <c r="I64" s="26" t="str">
        <f>IF(F62=prms!$AA$5,prms!$AD$5, IF(F62=prms!$AA$6,prms!$AD$6, IF(F62=prms!$AA$7,prms!$AD$7, IF(F62=prms!$AA$8,prms!$AD$8,IF(F62=prms!$AA$9,prms!$AD$9,1)))))</f>
        <v>0.3 - 0.2</v>
      </c>
    </row>
    <row r="65" spans="2:9" ht="14.5" customHeight="1" x14ac:dyDescent="0.35">
      <c r="B65" s="131" t="s">
        <v>151</v>
      </c>
      <c r="C65" s="131"/>
      <c r="D65" s="21" t="s">
        <v>170</v>
      </c>
      <c r="E65" s="19" t="s">
        <v>152</v>
      </c>
      <c r="F65" s="28">
        <v>10</v>
      </c>
    </row>
    <row r="66" spans="2:9" ht="14.5" customHeight="1" x14ac:dyDescent="0.35">
      <c r="B66" s="131" t="s">
        <v>159</v>
      </c>
      <c r="C66" s="131"/>
      <c r="D66" s="21" t="s">
        <v>171</v>
      </c>
      <c r="E66" s="19" t="s">
        <v>70</v>
      </c>
      <c r="F66" s="27">
        <v>1.7</v>
      </c>
    </row>
    <row r="67" spans="2:9" ht="14.5" customHeight="1" x14ac:dyDescent="0.35">
      <c r="B67" s="131" t="s">
        <v>96</v>
      </c>
      <c r="C67" s="131"/>
      <c r="D67" s="21" t="s">
        <v>309</v>
      </c>
      <c r="E67" s="19" t="s">
        <v>88</v>
      </c>
      <c r="F67" s="16">
        <f>F66*F65*F64/F63</f>
        <v>0.34</v>
      </c>
    </row>
    <row r="68" spans="2:9" ht="14.5" customHeight="1" x14ac:dyDescent="0.35">
      <c r="D68" s="21"/>
      <c r="F68" s="16"/>
    </row>
    <row r="69" spans="2:9" ht="14.5" customHeight="1" x14ac:dyDescent="0.35">
      <c r="B69" s="131" t="s">
        <v>172</v>
      </c>
      <c r="C69" s="131"/>
      <c r="D69" s="35"/>
      <c r="E69" s="22" t="s">
        <v>70</v>
      </c>
      <c r="F69" s="3">
        <v>1</v>
      </c>
      <c r="G69" s="132" t="s">
        <v>101</v>
      </c>
      <c r="H69" s="132"/>
    </row>
    <row r="70" spans="2:9" ht="14.5" customHeight="1" x14ac:dyDescent="0.35">
      <c r="B70" s="131" t="s">
        <v>150</v>
      </c>
      <c r="C70" s="131"/>
      <c r="D70" s="35"/>
      <c r="E70" s="85" t="s">
        <v>559</v>
      </c>
      <c r="F70" s="18" t="s">
        <v>137</v>
      </c>
    </row>
    <row r="71" spans="2:9" ht="14.5" customHeight="1" x14ac:dyDescent="0.35">
      <c r="B71" s="131" t="s">
        <v>160</v>
      </c>
      <c r="C71" s="131"/>
      <c r="D71" s="21" t="s">
        <v>173</v>
      </c>
      <c r="E71" s="19" t="s">
        <v>99</v>
      </c>
      <c r="F71" s="27">
        <v>17.5</v>
      </c>
      <c r="G71" s="132" t="s">
        <v>84</v>
      </c>
      <c r="H71" s="132"/>
      <c r="I71" s="26" t="str">
        <f>IF(F70=prms!$AA$5,prms!$AC$5, IF(F70=prms!$AA$6,prms!$AC$6, IF(F70=prms!$AA$7,prms!$AC$7, IF(F70=prms!$AA$8,prms!$AC$8,IF(F70=prms!$AA$9,prms!$AC$9,1)))))</f>
        <v>15 - 20</v>
      </c>
    </row>
    <row r="72" spans="2:9" ht="14.5" customHeight="1" x14ac:dyDescent="0.35">
      <c r="B72" s="131" t="s">
        <v>143</v>
      </c>
      <c r="C72" s="131"/>
      <c r="D72" s="21" t="s">
        <v>162</v>
      </c>
      <c r="E72" s="21" t="s">
        <v>144</v>
      </c>
      <c r="F72" s="25">
        <v>0.35</v>
      </c>
      <c r="G72" s="132" t="s">
        <v>84</v>
      </c>
      <c r="H72" s="132"/>
      <c r="I72" s="26" t="str">
        <f>IF(F70=prms!$AA$5,prms!$AD$5, IF(F70=prms!$AA$6,prms!$AD$6, IF(F70=prms!$AA$7,prms!$AD$7, IF(F70=prms!$AA$8,prms!$AD$8,IF(F70=prms!$AA$9,prms!$AD$9,1)))))</f>
        <v>0.4 - 0.3</v>
      </c>
    </row>
    <row r="73" spans="2:9" ht="14.5" customHeight="1" x14ac:dyDescent="0.35">
      <c r="B73" s="131" t="s">
        <v>151</v>
      </c>
      <c r="C73" s="131"/>
      <c r="D73" s="21" t="s">
        <v>174</v>
      </c>
      <c r="E73" s="19" t="s">
        <v>152</v>
      </c>
      <c r="F73" s="28">
        <v>10</v>
      </c>
    </row>
    <row r="74" spans="2:9" ht="14.5" customHeight="1" x14ac:dyDescent="0.35">
      <c r="B74" s="131" t="s">
        <v>159</v>
      </c>
      <c r="C74" s="131"/>
      <c r="D74" s="21" t="s">
        <v>175</v>
      </c>
      <c r="E74" s="19" t="s">
        <v>70</v>
      </c>
      <c r="F74" s="27">
        <v>1.7</v>
      </c>
    </row>
    <row r="75" spans="2:9" ht="14.5" customHeight="1" x14ac:dyDescent="0.35">
      <c r="B75" s="131" t="s">
        <v>96</v>
      </c>
      <c r="C75" s="131"/>
      <c r="D75" s="21" t="s">
        <v>310</v>
      </c>
      <c r="E75" s="19" t="s">
        <v>88</v>
      </c>
      <c r="F75" s="16">
        <f>F74*F73*F72/F71</f>
        <v>0.33999999999999997</v>
      </c>
    </row>
    <row r="76" spans="2:9" s="59" customFormat="1" ht="14.5" customHeight="1" x14ac:dyDescent="0.35">
      <c r="D76" s="62"/>
      <c r="F76" s="16"/>
    </row>
    <row r="77" spans="2:9" ht="14.5" customHeight="1" x14ac:dyDescent="0.35">
      <c r="B77" s="125" t="s">
        <v>383</v>
      </c>
      <c r="C77" s="125"/>
      <c r="D77" s="125"/>
      <c r="E77" s="125"/>
      <c r="F77" s="125"/>
    </row>
    <row r="79" spans="2:9" ht="14.5" customHeight="1" x14ac:dyDescent="0.35">
      <c r="B79" s="131" t="s">
        <v>143</v>
      </c>
      <c r="C79" s="131"/>
      <c r="D79" s="19" t="s">
        <v>411</v>
      </c>
      <c r="E79" s="19" t="s">
        <v>98</v>
      </c>
      <c r="F79" s="24">
        <f>F27*F14</f>
        <v>26.786043595904346</v>
      </c>
    </row>
    <row r="80" spans="2:9" ht="14.5" customHeight="1" x14ac:dyDescent="0.35">
      <c r="B80" s="131" t="s">
        <v>132</v>
      </c>
      <c r="C80" s="131"/>
      <c r="D80" s="19" t="s">
        <v>133</v>
      </c>
      <c r="E80" s="19" t="s">
        <v>134</v>
      </c>
      <c r="F80" s="25">
        <v>2.6</v>
      </c>
    </row>
    <row r="81" spans="2:6" ht="14.5" customHeight="1" x14ac:dyDescent="0.35">
      <c r="B81" s="131" t="s">
        <v>565</v>
      </c>
      <c r="C81" s="131"/>
      <c r="D81" s="19" t="s">
        <v>130</v>
      </c>
      <c r="E81" s="19" t="s">
        <v>131</v>
      </c>
      <c r="F81" s="24">
        <f>F79*F80</f>
        <v>69.643713349351302</v>
      </c>
    </row>
    <row r="82" spans="2:6" s="83" customFormat="1" ht="14.5" customHeight="1" x14ac:dyDescent="0.35">
      <c r="E82" s="83" t="s">
        <v>558</v>
      </c>
      <c r="F82" s="74">
        <f>F81/1000</f>
        <v>6.9643713349351308E-2</v>
      </c>
    </row>
    <row r="83" spans="2:6" s="29" customFormat="1" ht="14.5" customHeight="1" x14ac:dyDescent="0.35">
      <c r="F83" s="46"/>
    </row>
    <row r="84" spans="2:6" s="83" customFormat="1" ht="14.5" customHeight="1" x14ac:dyDescent="0.35">
      <c r="B84" s="125" t="s">
        <v>283</v>
      </c>
      <c r="C84" s="125"/>
      <c r="D84" s="125"/>
      <c r="E84" s="125"/>
      <c r="F84" s="125"/>
    </row>
    <row r="85" spans="2:6" s="83" customFormat="1" ht="14.5" customHeight="1" x14ac:dyDescent="0.35">
      <c r="F85" s="24"/>
    </row>
    <row r="86" spans="2:6" ht="14.5" customHeight="1" x14ac:dyDescent="0.35">
      <c r="B86" s="131" t="s">
        <v>361</v>
      </c>
      <c r="C86" s="131"/>
      <c r="E86" s="19" t="s">
        <v>98</v>
      </c>
      <c r="F86" s="24">
        <f>F40*F14</f>
        <v>96.185303897724012</v>
      </c>
    </row>
    <row r="87" spans="2:6" ht="14.5" customHeight="1" x14ac:dyDescent="0.35">
      <c r="B87" s="131" t="s">
        <v>362</v>
      </c>
      <c r="C87" s="131"/>
      <c r="E87" s="83" t="s">
        <v>70</v>
      </c>
      <c r="F87" s="28">
        <v>4</v>
      </c>
    </row>
    <row r="88" spans="2:6" ht="14.5" customHeight="1" x14ac:dyDescent="0.35">
      <c r="F88" s="17"/>
    </row>
    <row r="89" spans="2:6" ht="14.5" customHeight="1" x14ac:dyDescent="0.35">
      <c r="B89" s="131" t="s">
        <v>143</v>
      </c>
      <c r="C89" s="131"/>
      <c r="D89" s="19" t="s">
        <v>338</v>
      </c>
      <c r="E89" s="19" t="s">
        <v>98</v>
      </c>
      <c r="F89" s="24">
        <f>F86*F87</f>
        <v>384.74121559089605</v>
      </c>
    </row>
    <row r="90" spans="2:6" ht="14.5" customHeight="1" x14ac:dyDescent="0.35">
      <c r="B90" s="131" t="s">
        <v>132</v>
      </c>
      <c r="C90" s="131"/>
      <c r="D90" s="19" t="s">
        <v>133</v>
      </c>
      <c r="E90" s="19" t="s">
        <v>134</v>
      </c>
      <c r="F90" s="25">
        <v>2.6</v>
      </c>
    </row>
    <row r="91" spans="2:6" ht="14.5" customHeight="1" x14ac:dyDescent="0.35">
      <c r="B91" s="131" t="s">
        <v>565</v>
      </c>
      <c r="C91" s="131"/>
      <c r="D91" s="19" t="s">
        <v>130</v>
      </c>
      <c r="E91" s="19" t="s">
        <v>131</v>
      </c>
      <c r="F91" s="24">
        <f>F89*F90</f>
        <v>1000.3271605363298</v>
      </c>
    </row>
    <row r="92" spans="2:6" s="83" customFormat="1" ht="14.5" customHeight="1" x14ac:dyDescent="0.35">
      <c r="E92" s="83" t="s">
        <v>558</v>
      </c>
      <c r="F92" s="74">
        <f>F91/1000</f>
        <v>1.0003271605363298</v>
      </c>
    </row>
    <row r="93" spans="2:6" s="83" customFormat="1" ht="14.5" customHeight="1" x14ac:dyDescent="0.35"/>
    <row r="94" spans="2:6" s="83" customFormat="1" ht="14.5" customHeight="1" x14ac:dyDescent="0.35">
      <c r="B94" s="125" t="s">
        <v>517</v>
      </c>
      <c r="C94" s="125"/>
      <c r="D94" s="125"/>
      <c r="E94" s="125"/>
      <c r="F94" s="125"/>
    </row>
    <row r="95" spans="2:6" s="29" customFormat="1" ht="14.5" customHeight="1" x14ac:dyDescent="0.35">
      <c r="B95" s="47"/>
      <c r="C95" s="47"/>
      <c r="D95" s="47"/>
      <c r="E95" s="47"/>
      <c r="F95" s="47"/>
    </row>
    <row r="96" spans="2:6" s="29" customFormat="1" ht="14.5" customHeight="1" x14ac:dyDescent="0.35">
      <c r="B96" s="131" t="s">
        <v>507</v>
      </c>
      <c r="C96" s="131"/>
      <c r="D96" s="83"/>
      <c r="E96" s="83" t="s">
        <v>450</v>
      </c>
      <c r="F96" s="24">
        <f>F49/F46*F44</f>
        <v>0.53333333333333333</v>
      </c>
    </row>
    <row r="97" spans="2:6" s="29" customFormat="1" ht="14.5" customHeight="1" x14ac:dyDescent="0.35">
      <c r="B97" s="131" t="s">
        <v>143</v>
      </c>
      <c r="C97" s="131"/>
      <c r="D97" s="83" t="s">
        <v>338</v>
      </c>
      <c r="E97" s="83" t="s">
        <v>98</v>
      </c>
      <c r="F97" s="24">
        <f>F49*F96</f>
        <v>42.666666666666664</v>
      </c>
    </row>
    <row r="98" spans="2:6" s="29" customFormat="1" ht="14.5" customHeight="1" x14ac:dyDescent="0.35">
      <c r="B98" s="131" t="s">
        <v>132</v>
      </c>
      <c r="C98" s="131"/>
      <c r="D98" s="83" t="s">
        <v>133</v>
      </c>
      <c r="E98" s="83" t="s">
        <v>134</v>
      </c>
      <c r="F98" s="25">
        <v>2.6</v>
      </c>
    </row>
    <row r="99" spans="2:6" s="29" customFormat="1" ht="14.5" customHeight="1" x14ac:dyDescent="0.35">
      <c r="B99" s="131" t="s">
        <v>565</v>
      </c>
      <c r="C99" s="131"/>
      <c r="D99" s="83" t="s">
        <v>130</v>
      </c>
      <c r="E99" s="83" t="s">
        <v>131</v>
      </c>
      <c r="F99" s="24">
        <f>F97*F98</f>
        <v>110.93333333333334</v>
      </c>
    </row>
    <row r="100" spans="2:6" s="29" customFormat="1" ht="14.5" customHeight="1" x14ac:dyDescent="0.35">
      <c r="B100" s="83"/>
      <c r="C100" s="83"/>
      <c r="D100" s="83"/>
      <c r="E100" s="83" t="s">
        <v>558</v>
      </c>
      <c r="F100" s="74">
        <f>F99/1000</f>
        <v>0.11093333333333334</v>
      </c>
    </row>
    <row r="101" spans="2:6" s="83" customFormat="1" ht="14.5" customHeight="1" x14ac:dyDescent="0.35">
      <c r="F101" s="24"/>
    </row>
    <row r="102" spans="2:6" s="83" customFormat="1" ht="14.5" customHeight="1" x14ac:dyDescent="0.35">
      <c r="B102" s="125" t="s">
        <v>407</v>
      </c>
      <c r="C102" s="125"/>
      <c r="D102" s="125"/>
      <c r="E102" s="125"/>
      <c r="F102" s="125"/>
    </row>
    <row r="104" spans="2:6" ht="14.5" customHeight="1" x14ac:dyDescent="0.35">
      <c r="B104" s="131" t="s">
        <v>412</v>
      </c>
      <c r="C104" s="131"/>
      <c r="D104" s="21"/>
      <c r="E104" s="83" t="s">
        <v>70</v>
      </c>
      <c r="F104" s="17">
        <f>F53*F55/($F$53*$F$55+$F$61*$F$63+$F$69*$F$71)</f>
        <v>0.2</v>
      </c>
    </row>
    <row r="105" spans="2:6" ht="14.5" customHeight="1" x14ac:dyDescent="0.35">
      <c r="B105" s="131" t="s">
        <v>413</v>
      </c>
      <c r="C105" s="131"/>
      <c r="D105" s="21"/>
      <c r="E105" s="83" t="s">
        <v>70</v>
      </c>
      <c r="F105" s="17">
        <f>F61*F63/($F$53*$F$55+$F$61*$F$63+$F$69*$F$71)</f>
        <v>0.33333333333333331</v>
      </c>
    </row>
    <row r="106" spans="2:6" ht="14.5" customHeight="1" x14ac:dyDescent="0.35">
      <c r="B106" s="131" t="s">
        <v>414</v>
      </c>
      <c r="C106" s="131"/>
      <c r="D106" s="21"/>
      <c r="E106" s="83" t="s">
        <v>70</v>
      </c>
      <c r="F106" s="17">
        <f>F69*F71/($F$53*$F$55+$F$61*$F$63+$F$69*$F$71)</f>
        <v>0.46666666666666667</v>
      </c>
    </row>
    <row r="107" spans="2:6" ht="14.5" customHeight="1" x14ac:dyDescent="0.35">
      <c r="D107" s="21"/>
    </row>
    <row r="108" spans="2:6" ht="14.5" customHeight="1" x14ac:dyDescent="0.35">
      <c r="B108" s="131" t="s">
        <v>176</v>
      </c>
      <c r="C108" s="131"/>
      <c r="D108" s="21"/>
      <c r="E108" s="19" t="s">
        <v>99</v>
      </c>
      <c r="F108" s="24">
        <f>F104*$F$14</f>
        <v>128</v>
      </c>
    </row>
    <row r="109" spans="2:6" ht="14.5" customHeight="1" x14ac:dyDescent="0.35">
      <c r="B109" s="131" t="s">
        <v>177</v>
      </c>
      <c r="C109" s="131"/>
      <c r="D109" s="21"/>
      <c r="E109" s="19" t="s">
        <v>99</v>
      </c>
      <c r="F109" s="24">
        <f>F105*$F$14</f>
        <v>213.33333333333331</v>
      </c>
    </row>
    <row r="110" spans="2:6" ht="14.5" customHeight="1" x14ac:dyDescent="0.35">
      <c r="B110" s="131" t="s">
        <v>178</v>
      </c>
      <c r="C110" s="131"/>
      <c r="D110" s="21"/>
      <c r="E110" s="19" t="s">
        <v>99</v>
      </c>
      <c r="F110" s="24">
        <f>F106*$F$14</f>
        <v>298.66666666666669</v>
      </c>
    </row>
    <row r="111" spans="2:6" ht="14.5" customHeight="1" x14ac:dyDescent="0.35">
      <c r="D111" s="21"/>
    </row>
    <row r="112" spans="2:6" ht="14.5" customHeight="1" x14ac:dyDescent="0.35">
      <c r="B112" s="131" t="s">
        <v>179</v>
      </c>
      <c r="C112" s="131"/>
      <c r="D112" s="21" t="s">
        <v>182</v>
      </c>
      <c r="E112" s="19" t="s">
        <v>98</v>
      </c>
      <c r="F112" s="24">
        <f>F59*F108</f>
        <v>43.519999999999996</v>
      </c>
    </row>
    <row r="113" spans="2:6" ht="14.5" customHeight="1" x14ac:dyDescent="0.35">
      <c r="B113" s="131" t="s">
        <v>180</v>
      </c>
      <c r="C113" s="131"/>
      <c r="D113" s="21" t="s">
        <v>183</v>
      </c>
      <c r="E113" s="19" t="s">
        <v>98</v>
      </c>
      <c r="F113" s="24">
        <f>F67*F109</f>
        <v>72.533333333333331</v>
      </c>
    </row>
    <row r="114" spans="2:6" ht="14.5" customHeight="1" x14ac:dyDescent="0.35">
      <c r="B114" s="131" t="s">
        <v>181</v>
      </c>
      <c r="C114" s="131"/>
      <c r="D114" s="21" t="s">
        <v>184</v>
      </c>
      <c r="E114" s="19" t="s">
        <v>98</v>
      </c>
      <c r="F114" s="24">
        <f>F75*F110</f>
        <v>101.54666666666667</v>
      </c>
    </row>
    <row r="115" spans="2:6" ht="14.5" customHeight="1" x14ac:dyDescent="0.35">
      <c r="D115" s="21"/>
    </row>
    <row r="116" spans="2:6" ht="14.5" customHeight="1" x14ac:dyDescent="0.35">
      <c r="B116" s="131" t="s">
        <v>143</v>
      </c>
      <c r="C116" s="131"/>
      <c r="D116" s="21" t="s">
        <v>254</v>
      </c>
      <c r="E116" s="19" t="s">
        <v>98</v>
      </c>
      <c r="F116" s="24">
        <f>SUM(F112:F114)</f>
        <v>217.6</v>
      </c>
    </row>
    <row r="117" spans="2:6" ht="14.5" customHeight="1" x14ac:dyDescent="0.35">
      <c r="B117" s="131" t="s">
        <v>132</v>
      </c>
      <c r="C117" s="131"/>
      <c r="D117" s="21" t="s">
        <v>133</v>
      </c>
      <c r="E117" s="19" t="s">
        <v>134</v>
      </c>
      <c r="F117" s="25">
        <v>2.6</v>
      </c>
    </row>
    <row r="118" spans="2:6" ht="14.5" customHeight="1" x14ac:dyDescent="0.35">
      <c r="B118" s="131" t="s">
        <v>565</v>
      </c>
      <c r="C118" s="131"/>
      <c r="D118" s="21" t="s">
        <v>130</v>
      </c>
      <c r="E118" s="19" t="s">
        <v>131</v>
      </c>
      <c r="F118" s="24">
        <f>F116*F117</f>
        <v>565.76</v>
      </c>
    </row>
    <row r="120" spans="2:6" ht="14.5" customHeight="1" x14ac:dyDescent="0.35">
      <c r="B120" s="125" t="s">
        <v>557</v>
      </c>
      <c r="C120" s="125"/>
      <c r="D120" s="125"/>
      <c r="E120" s="125"/>
      <c r="F120" s="125"/>
    </row>
    <row r="121" spans="2:6" ht="14.5" customHeight="1" x14ac:dyDescent="0.35">
      <c r="B121" s="83"/>
      <c r="C121" s="83"/>
      <c r="D121" s="83"/>
      <c r="E121" s="83"/>
      <c r="F121" s="83"/>
    </row>
    <row r="122" spans="2:6" ht="14.5" customHeight="1" x14ac:dyDescent="0.35">
      <c r="B122" s="131" t="s">
        <v>129</v>
      </c>
      <c r="C122" s="131"/>
      <c r="D122" s="84" t="s">
        <v>130</v>
      </c>
      <c r="E122" s="83" t="s">
        <v>131</v>
      </c>
      <c r="F122" s="24">
        <f>F81+F91+F99+F118</f>
        <v>1746.6642072190145</v>
      </c>
    </row>
    <row r="123" spans="2:6" ht="14.5" customHeight="1" x14ac:dyDescent="0.35">
      <c r="B123" s="83"/>
      <c r="C123" s="83"/>
      <c r="D123" s="83"/>
      <c r="E123" s="83" t="s">
        <v>558</v>
      </c>
      <c r="F123" s="75">
        <f>F122/1000</f>
        <v>1.7466642072190146</v>
      </c>
    </row>
  </sheetData>
  <mergeCells count="113">
    <mergeCell ref="G32:H32"/>
    <mergeCell ref="B33:C33"/>
    <mergeCell ref="G33:H33"/>
    <mergeCell ref="G53:H53"/>
    <mergeCell ref="B34:C34"/>
    <mergeCell ref="G34:I34"/>
    <mergeCell ref="B35:C35"/>
    <mergeCell ref="G35:H35"/>
    <mergeCell ref="B36:C36"/>
    <mergeCell ref="B37:C37"/>
    <mergeCell ref="G37:H37"/>
    <mergeCell ref="B38:C38"/>
    <mergeCell ref="G10:H10"/>
    <mergeCell ref="B70:C70"/>
    <mergeCell ref="B71:C71"/>
    <mergeCell ref="G71:H71"/>
    <mergeCell ref="B72:C72"/>
    <mergeCell ref="G72:H72"/>
    <mergeCell ref="G24:H24"/>
    <mergeCell ref="B25:C25"/>
    <mergeCell ref="B26:C26"/>
    <mergeCell ref="B39:C39"/>
    <mergeCell ref="B40:C40"/>
    <mergeCell ref="B51:F51"/>
    <mergeCell ref="B53:C53"/>
    <mergeCell ref="B42:F42"/>
    <mergeCell ref="B44:C44"/>
    <mergeCell ref="G44:H44"/>
    <mergeCell ref="B48:C48"/>
    <mergeCell ref="B49:C49"/>
    <mergeCell ref="B45:C45"/>
    <mergeCell ref="B46:C46"/>
    <mergeCell ref="G46:H46"/>
    <mergeCell ref="B47:C47"/>
    <mergeCell ref="G47:H47"/>
    <mergeCell ref="G19:H19"/>
    <mergeCell ref="G20:H20"/>
    <mergeCell ref="B21:C21"/>
    <mergeCell ref="G21:I21"/>
    <mergeCell ref="B22:C22"/>
    <mergeCell ref="G22:H22"/>
    <mergeCell ref="B19:C19"/>
    <mergeCell ref="B23:C23"/>
    <mergeCell ref="B104:C104"/>
    <mergeCell ref="B54:C54"/>
    <mergeCell ref="B55:C55"/>
    <mergeCell ref="G55:H55"/>
    <mergeCell ref="B56:C56"/>
    <mergeCell ref="G56:H56"/>
    <mergeCell ref="B84:F84"/>
    <mergeCell ref="B94:F94"/>
    <mergeCell ref="B102:F102"/>
    <mergeCell ref="B96:C96"/>
    <mergeCell ref="B97:C97"/>
    <mergeCell ref="B98:C98"/>
    <mergeCell ref="B99:C99"/>
    <mergeCell ref="B79:C79"/>
    <mergeCell ref="B80:C80"/>
    <mergeCell ref="B81:C81"/>
    <mergeCell ref="B74:C74"/>
    <mergeCell ref="B16:F16"/>
    <mergeCell ref="B18:C18"/>
    <mergeCell ref="B27:C27"/>
    <mergeCell ref="B24:C24"/>
    <mergeCell ref="B77:F77"/>
    <mergeCell ref="B69:C69"/>
    <mergeCell ref="B58:C58"/>
    <mergeCell ref="B59:C59"/>
    <mergeCell ref="B61:C61"/>
    <mergeCell ref="B62:C62"/>
    <mergeCell ref="B63:C63"/>
    <mergeCell ref="B64:C64"/>
    <mergeCell ref="B73:C73"/>
    <mergeCell ref="B57:C57"/>
    <mergeCell ref="B20:C20"/>
    <mergeCell ref="B75:C75"/>
    <mergeCell ref="B29:F29"/>
    <mergeCell ref="B31:C31"/>
    <mergeCell ref="B32:C32"/>
    <mergeCell ref="B65:C65"/>
    <mergeCell ref="B66:C66"/>
    <mergeCell ref="B67:C67"/>
    <mergeCell ref="B10:C10"/>
    <mergeCell ref="B2:F2"/>
    <mergeCell ref="B4:C4"/>
    <mergeCell ref="B6:F6"/>
    <mergeCell ref="B8:C8"/>
    <mergeCell ref="B9:C9"/>
    <mergeCell ref="B11:C11"/>
    <mergeCell ref="B12:C12"/>
    <mergeCell ref="B14:C14"/>
    <mergeCell ref="B86:C86"/>
    <mergeCell ref="B87:C87"/>
    <mergeCell ref="B89:C89"/>
    <mergeCell ref="B90:C90"/>
    <mergeCell ref="B91:C91"/>
    <mergeCell ref="G69:H69"/>
    <mergeCell ref="G61:H61"/>
    <mergeCell ref="G63:H63"/>
    <mergeCell ref="B120:F120"/>
    <mergeCell ref="B105:C105"/>
    <mergeCell ref="G64:H64"/>
    <mergeCell ref="B122:C122"/>
    <mergeCell ref="B106:C106"/>
    <mergeCell ref="B108:C108"/>
    <mergeCell ref="B118:C118"/>
    <mergeCell ref="B110:C110"/>
    <mergeCell ref="B112:C112"/>
    <mergeCell ref="B113:C113"/>
    <mergeCell ref="B114:C114"/>
    <mergeCell ref="B116:C116"/>
    <mergeCell ref="B117:C117"/>
    <mergeCell ref="B109:C10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336B821-92DB-48AD-87B6-9AE3E33A4DEA}">
          <x14:formula1>
            <xm:f>prms!$AA$5:$AA$9</xm:f>
          </x14:formula1>
          <xm:sqref>F54 F62 F70</xm:sqref>
        </x14:dataValidation>
        <x14:dataValidation type="list" allowBlank="1" showInputMessage="1" showErrorMessage="1" xr:uid="{B4D36FF0-5056-4E84-A9E9-5EE6B5768AAA}">
          <x14:formula1>
            <xm:f>prms!$Q$5:$Q$10</xm:f>
          </x14:formula1>
          <xm:sqref>F31</xm:sqref>
        </x14:dataValidation>
        <x14:dataValidation type="list" allowBlank="1" showInputMessage="1" showErrorMessage="1" xr:uid="{3D085DC9-5D18-4D26-A46B-838FC2002F8A}">
          <x14:formula1>
            <xm:f>prms!$V$5:$V$7</xm:f>
          </x14:formula1>
          <xm:sqref>F18</xm:sqref>
        </x14:dataValidation>
        <x14:dataValidation type="list" allowBlank="1" showInputMessage="1" showErrorMessage="1" xr:uid="{18E213D6-766B-4F1D-8759-56B770DC2E26}">
          <x14:formula1>
            <xm:f>prms!$B$5:$B$29</xm:f>
          </x14:formula1>
          <xm:sqref>F10</xm:sqref>
        </x14:dataValidation>
        <x14:dataValidation type="list" allowBlank="1" showInputMessage="1" showErrorMessage="1" xr:uid="{1A609BAF-3CDA-4FAC-AB1A-8AC497BC3EB6}">
          <x14:formula1>
            <xm:f>prms!$AF$5</xm:f>
          </x14:formula1>
          <xm:sqref>F45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F25D-12F3-4B0D-A5F4-E1AC7FFC6C40}">
  <dimension ref="B2:I58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40"/>
    <col min="2" max="3" width="15.6328125" style="40" customWidth="1"/>
    <col min="4" max="4" width="12.6328125" style="83" customWidth="1"/>
    <col min="5" max="5" width="12.6328125" style="40"/>
    <col min="6" max="6" width="20.6328125" style="40" customWidth="1"/>
    <col min="7" max="16384" width="12.6328125" style="40"/>
  </cols>
  <sheetData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E4" s="37" t="s">
        <v>0</v>
      </c>
      <c r="F4" s="37">
        <v>1000</v>
      </c>
    </row>
    <row r="5" spans="2:8" ht="14.5" customHeight="1" x14ac:dyDescent="0.35">
      <c r="B5" s="134" t="s">
        <v>438</v>
      </c>
      <c r="C5" s="134"/>
      <c r="D5" s="85" t="s">
        <v>426</v>
      </c>
      <c r="E5" s="39" t="s">
        <v>425</v>
      </c>
      <c r="F5" s="29">
        <v>50</v>
      </c>
    </row>
    <row r="7" spans="2:8" ht="14.5" customHeight="1" x14ac:dyDescent="0.35">
      <c r="B7" s="133" t="s">
        <v>584</v>
      </c>
      <c r="C7" s="133"/>
      <c r="D7" s="133"/>
      <c r="E7" s="133"/>
      <c r="F7" s="133"/>
    </row>
    <row r="8" spans="2:8" ht="14.5" customHeight="1" x14ac:dyDescent="0.35">
      <c r="B8" s="8"/>
      <c r="C8" s="8"/>
      <c r="D8" s="8"/>
      <c r="E8" s="8"/>
      <c r="F8" s="8"/>
    </row>
    <row r="9" spans="2:8" ht="14.5" customHeight="1" x14ac:dyDescent="0.35">
      <c r="B9" s="131" t="s">
        <v>430</v>
      </c>
      <c r="C9" s="131"/>
      <c r="E9" s="40" t="s">
        <v>70</v>
      </c>
      <c r="F9" s="3">
        <v>2</v>
      </c>
    </row>
    <row r="10" spans="2:8" s="83" customFormat="1" ht="14.5" customHeight="1" x14ac:dyDescent="0.35">
      <c r="F10" s="29"/>
    </row>
    <row r="11" spans="2:8" ht="14.5" customHeight="1" x14ac:dyDescent="0.35">
      <c r="B11" s="135" t="s">
        <v>441</v>
      </c>
      <c r="C11" s="135"/>
      <c r="D11" s="85"/>
      <c r="E11" s="43" t="s">
        <v>70</v>
      </c>
      <c r="F11" s="3">
        <f>1000*365</f>
        <v>365000</v>
      </c>
      <c r="G11" s="132" t="s">
        <v>569</v>
      </c>
      <c r="H11" s="132"/>
    </row>
    <row r="12" spans="2:8" s="83" customFormat="1" ht="14.5" customHeight="1" x14ac:dyDescent="0.35">
      <c r="B12" s="135" t="s">
        <v>571</v>
      </c>
      <c r="C12" s="135"/>
      <c r="D12" s="85" t="s">
        <v>572</v>
      </c>
      <c r="E12" s="85" t="s">
        <v>70</v>
      </c>
      <c r="F12" s="3">
        <v>0.01</v>
      </c>
    </row>
    <row r="13" spans="2:8" s="83" customFormat="1" ht="14.5" customHeight="1" x14ac:dyDescent="0.35">
      <c r="B13" s="85"/>
      <c r="C13" s="85"/>
      <c r="D13" s="85"/>
      <c r="E13" s="85"/>
      <c r="F13" s="29"/>
    </row>
    <row r="14" spans="2:8" s="59" customFormat="1" ht="14.5" customHeight="1" x14ac:dyDescent="0.35">
      <c r="B14" s="135" t="s">
        <v>525</v>
      </c>
      <c r="C14" s="135"/>
      <c r="D14" s="85"/>
      <c r="E14" s="61" t="s">
        <v>70</v>
      </c>
      <c r="F14" s="3">
        <f>20000*365</f>
        <v>7300000</v>
      </c>
      <c r="G14" s="132" t="s">
        <v>569</v>
      </c>
      <c r="H14" s="132"/>
    </row>
    <row r="15" spans="2:8" s="83" customFormat="1" ht="14.5" customHeight="1" x14ac:dyDescent="0.35">
      <c r="B15" s="135" t="s">
        <v>571</v>
      </c>
      <c r="C15" s="135"/>
      <c r="D15" s="85" t="s">
        <v>573</v>
      </c>
      <c r="E15" s="85" t="s">
        <v>70</v>
      </c>
      <c r="F15" s="3">
        <v>0.01</v>
      </c>
    </row>
    <row r="16" spans="2:8" s="83" customFormat="1" ht="14.5" customHeight="1" x14ac:dyDescent="0.35">
      <c r="B16" s="85"/>
      <c r="C16" s="85"/>
      <c r="D16" s="85"/>
      <c r="E16" s="85"/>
      <c r="F16" s="29"/>
    </row>
    <row r="17" spans="2:9" s="83" customFormat="1" ht="14.5" customHeight="1" x14ac:dyDescent="0.35">
      <c r="B17" s="135" t="s">
        <v>525</v>
      </c>
      <c r="C17" s="135"/>
      <c r="D17" s="85"/>
      <c r="E17" s="85" t="s">
        <v>70</v>
      </c>
      <c r="F17" s="3">
        <f>3*365</f>
        <v>1095</v>
      </c>
      <c r="G17" s="132" t="s">
        <v>581</v>
      </c>
      <c r="H17" s="132"/>
    </row>
    <row r="18" spans="2:9" s="83" customFormat="1" ht="14.5" customHeight="1" x14ac:dyDescent="0.35">
      <c r="B18" s="135" t="s">
        <v>571</v>
      </c>
      <c r="C18" s="135"/>
      <c r="D18" s="85" t="s">
        <v>586</v>
      </c>
      <c r="E18" s="85" t="s">
        <v>70</v>
      </c>
      <c r="F18" s="3">
        <v>0.01</v>
      </c>
    </row>
    <row r="19" spans="2:9" s="83" customFormat="1" ht="14.5" customHeight="1" x14ac:dyDescent="0.35">
      <c r="B19" s="85"/>
      <c r="C19" s="85"/>
      <c r="D19" s="85"/>
      <c r="E19" s="85"/>
      <c r="F19" s="29"/>
    </row>
    <row r="20" spans="2:9" ht="14.5" customHeight="1" x14ac:dyDescent="0.35">
      <c r="B20" s="135" t="s">
        <v>525</v>
      </c>
      <c r="C20" s="135"/>
      <c r="D20" s="85"/>
      <c r="E20" s="85" t="s">
        <v>70</v>
      </c>
      <c r="F20" s="3">
        <f>2*365</f>
        <v>730</v>
      </c>
      <c r="G20" s="132" t="s">
        <v>570</v>
      </c>
      <c r="H20" s="132"/>
    </row>
    <row r="21" spans="2:9" s="83" customFormat="1" ht="14.5" customHeight="1" x14ac:dyDescent="0.35">
      <c r="B21" s="135" t="s">
        <v>571</v>
      </c>
      <c r="C21" s="135"/>
      <c r="D21" s="85" t="s">
        <v>574</v>
      </c>
      <c r="E21" s="85" t="s">
        <v>70</v>
      </c>
      <c r="F21" s="3">
        <v>0.01</v>
      </c>
    </row>
    <row r="22" spans="2:9" s="83" customFormat="1" ht="14.5" customHeight="1" x14ac:dyDescent="0.35">
      <c r="B22" s="85"/>
      <c r="C22" s="85"/>
      <c r="D22" s="85"/>
      <c r="E22" s="85"/>
      <c r="F22" s="30"/>
    </row>
    <row r="23" spans="2:9" s="83" customFormat="1" ht="14.5" customHeight="1" x14ac:dyDescent="0.35">
      <c r="B23" s="131" t="s">
        <v>567</v>
      </c>
      <c r="C23" s="131"/>
      <c r="D23" s="84"/>
      <c r="E23" s="40" t="s">
        <v>70</v>
      </c>
      <c r="F23" s="18" t="s">
        <v>136</v>
      </c>
      <c r="G23" s="132" t="s">
        <v>569</v>
      </c>
      <c r="H23" s="132"/>
      <c r="I23" s="40"/>
    </row>
    <row r="24" spans="2:9" s="83" customFormat="1" ht="14.5" customHeight="1" x14ac:dyDescent="0.35">
      <c r="B24" s="131" t="s">
        <v>143</v>
      </c>
      <c r="C24" s="131"/>
      <c r="D24" s="84" t="s">
        <v>587</v>
      </c>
      <c r="E24" s="42" t="s">
        <v>144</v>
      </c>
      <c r="F24" s="25">
        <v>0.25</v>
      </c>
      <c r="G24" s="132" t="s">
        <v>84</v>
      </c>
      <c r="H24" s="132"/>
      <c r="I24" s="41" t="str">
        <f>IF(F23=prms!$AA$5,prms!$AD$5, IF(F23=prms!$AA$6,prms!$AD$6, IF(F23=prms!$AA$7,prms!$AD$7, IF(F23=prms!$AA$8,prms!$AD$8,IF(F23=prms!$AA$9,prms!$AD$9,1)))))</f>
        <v>0.3 - 0.2</v>
      </c>
    </row>
    <row r="25" spans="2:9" s="83" customFormat="1" ht="14.5" customHeight="1" x14ac:dyDescent="0.35">
      <c r="B25" s="59"/>
      <c r="C25" s="59"/>
      <c r="D25" s="84"/>
      <c r="E25" s="62"/>
      <c r="F25" s="30"/>
      <c r="G25" s="32"/>
      <c r="H25" s="32"/>
      <c r="I25" s="32"/>
    </row>
    <row r="26" spans="2:9" s="83" customFormat="1" ht="14.5" customHeight="1" x14ac:dyDescent="0.35">
      <c r="B26" s="131" t="s">
        <v>568</v>
      </c>
      <c r="C26" s="131"/>
      <c r="D26" s="84"/>
      <c r="E26" s="59" t="s">
        <v>70</v>
      </c>
      <c r="F26" s="103" t="s">
        <v>526</v>
      </c>
      <c r="G26" s="132" t="s">
        <v>569</v>
      </c>
      <c r="H26" s="132"/>
      <c r="I26" s="32"/>
    </row>
    <row r="27" spans="2:9" s="83" customFormat="1" ht="14.5" customHeight="1" x14ac:dyDescent="0.35">
      <c r="B27" s="131" t="s">
        <v>143</v>
      </c>
      <c r="C27" s="131"/>
      <c r="D27" s="93" t="s">
        <v>588</v>
      </c>
      <c r="E27" s="62" t="s">
        <v>144</v>
      </c>
      <c r="F27" s="25">
        <v>0.06</v>
      </c>
      <c r="G27" s="32"/>
      <c r="H27" s="32"/>
      <c r="I27" s="32"/>
    </row>
    <row r="28" spans="2:9" s="83" customFormat="1" ht="14.5" customHeight="1" x14ac:dyDescent="0.35">
      <c r="D28" s="84"/>
      <c r="E28" s="84"/>
      <c r="F28" s="92"/>
      <c r="G28" s="32"/>
      <c r="H28" s="32"/>
      <c r="I28" s="32"/>
    </row>
    <row r="29" spans="2:9" s="83" customFormat="1" ht="14.5" customHeight="1" x14ac:dyDescent="0.35">
      <c r="B29" s="131" t="s">
        <v>582</v>
      </c>
      <c r="C29" s="131"/>
      <c r="D29" s="84"/>
      <c r="E29" s="83" t="s">
        <v>70</v>
      </c>
      <c r="F29" s="103" t="s">
        <v>526</v>
      </c>
      <c r="G29" s="132" t="s">
        <v>581</v>
      </c>
      <c r="H29" s="132"/>
      <c r="I29" s="32"/>
    </row>
    <row r="30" spans="2:9" s="83" customFormat="1" ht="14.5" customHeight="1" x14ac:dyDescent="0.35">
      <c r="B30" s="131" t="s">
        <v>143</v>
      </c>
      <c r="C30" s="131"/>
      <c r="D30" s="93" t="s">
        <v>589</v>
      </c>
      <c r="E30" s="84" t="s">
        <v>144</v>
      </c>
      <c r="F30" s="25">
        <v>0.04</v>
      </c>
      <c r="G30" s="32"/>
      <c r="H30" s="32"/>
      <c r="I30" s="32"/>
    </row>
    <row r="31" spans="2:9" s="92" customFormat="1" ht="14.5" customHeight="1" x14ac:dyDescent="0.35">
      <c r="D31" s="93"/>
      <c r="E31" s="93"/>
      <c r="G31" s="32"/>
      <c r="H31" s="32"/>
      <c r="I31" s="32"/>
    </row>
    <row r="32" spans="2:9" s="92" customFormat="1" ht="14.5" customHeight="1" x14ac:dyDescent="0.35">
      <c r="B32" s="131" t="s">
        <v>585</v>
      </c>
      <c r="C32" s="131"/>
      <c r="D32" s="93"/>
      <c r="E32" s="92" t="s">
        <v>70</v>
      </c>
      <c r="F32" s="103" t="s">
        <v>526</v>
      </c>
      <c r="G32" s="132" t="s">
        <v>570</v>
      </c>
      <c r="H32" s="132"/>
      <c r="I32" s="32"/>
    </row>
    <row r="33" spans="2:9" s="83" customFormat="1" ht="14.5" customHeight="1" x14ac:dyDescent="0.35">
      <c r="B33" s="131" t="s">
        <v>143</v>
      </c>
      <c r="C33" s="131"/>
      <c r="D33" s="93" t="s">
        <v>590</v>
      </c>
      <c r="E33" s="93" t="s">
        <v>144</v>
      </c>
      <c r="F33" s="25">
        <v>0</v>
      </c>
      <c r="G33" s="32"/>
      <c r="H33" s="32"/>
      <c r="I33" s="32"/>
    </row>
    <row r="34" spans="2:9" s="83" customFormat="1" ht="14.5" customHeight="1" x14ac:dyDescent="0.35">
      <c r="D34" s="84"/>
      <c r="E34" s="84"/>
      <c r="G34" s="32"/>
      <c r="H34" s="32"/>
      <c r="I34" s="32"/>
    </row>
    <row r="35" spans="2:9" s="92" customFormat="1" ht="14.5" customHeight="1" x14ac:dyDescent="0.35">
      <c r="B35" s="133" t="s">
        <v>583</v>
      </c>
      <c r="C35" s="133"/>
      <c r="D35" s="133"/>
      <c r="E35" s="133"/>
      <c r="F35" s="133"/>
      <c r="G35" s="32"/>
      <c r="H35" s="32"/>
      <c r="I35" s="32"/>
    </row>
    <row r="36" spans="2:9" s="92" customFormat="1" ht="14.5" customHeight="1" x14ac:dyDescent="0.35">
      <c r="D36" s="93"/>
      <c r="E36" s="93"/>
      <c r="G36" s="32"/>
      <c r="H36" s="32"/>
      <c r="I36" s="32"/>
    </row>
    <row r="37" spans="2:9" ht="14.5" customHeight="1" x14ac:dyDescent="0.35">
      <c r="B37" s="134" t="s">
        <v>431</v>
      </c>
      <c r="C37" s="134"/>
      <c r="D37" s="85" t="s">
        <v>432</v>
      </c>
      <c r="E37" s="42" t="s">
        <v>433</v>
      </c>
      <c r="F37" s="3">
        <v>2</v>
      </c>
    </row>
    <row r="38" spans="2:9" ht="14.5" customHeight="1" x14ac:dyDescent="0.35">
      <c r="B38" s="134" t="s">
        <v>434</v>
      </c>
      <c r="C38" s="134"/>
      <c r="D38" s="45" t="s">
        <v>435</v>
      </c>
      <c r="E38" s="42" t="s">
        <v>433</v>
      </c>
      <c r="F38" s="25">
        <v>0.1</v>
      </c>
    </row>
    <row r="39" spans="2:9" ht="14.5" customHeight="1" x14ac:dyDescent="0.35">
      <c r="B39" s="134" t="s">
        <v>436</v>
      </c>
      <c r="C39" s="134"/>
      <c r="D39" s="85" t="s">
        <v>437</v>
      </c>
      <c r="E39" s="42" t="s">
        <v>433</v>
      </c>
      <c r="F39" s="3">
        <v>4</v>
      </c>
    </row>
    <row r="40" spans="2:9" ht="14.5" customHeight="1" x14ac:dyDescent="0.35">
      <c r="B40" s="134" t="s">
        <v>443</v>
      </c>
      <c r="C40" s="134"/>
      <c r="D40" s="45"/>
      <c r="E40" s="85" t="s">
        <v>70</v>
      </c>
      <c r="F40" s="30">
        <f>(F39-F37)/F38</f>
        <v>20</v>
      </c>
    </row>
    <row r="41" spans="2:9" ht="14.5" customHeight="1" x14ac:dyDescent="0.35">
      <c r="B41" s="134" t="s">
        <v>444</v>
      </c>
      <c r="C41" s="134"/>
      <c r="D41" s="45"/>
      <c r="E41" s="85" t="s">
        <v>70</v>
      </c>
      <c r="F41" s="46">
        <f>ROUND(F40,0)</f>
        <v>20</v>
      </c>
    </row>
    <row r="42" spans="2:9" s="44" customFormat="1" ht="14.5" customHeight="1" x14ac:dyDescent="0.35">
      <c r="B42" s="134" t="s">
        <v>446</v>
      </c>
      <c r="C42" s="134"/>
      <c r="D42" s="45"/>
      <c r="E42" s="85" t="s">
        <v>70</v>
      </c>
      <c r="F42" s="30">
        <f>F5/F41</f>
        <v>2.5</v>
      </c>
    </row>
    <row r="43" spans="2:9" s="44" customFormat="1" ht="14.5" customHeight="1" x14ac:dyDescent="0.35">
      <c r="B43" s="134" t="s">
        <v>445</v>
      </c>
      <c r="C43" s="134"/>
      <c r="D43" s="45"/>
      <c r="E43" s="85" t="s">
        <v>70</v>
      </c>
      <c r="F43" s="46">
        <f>ROUNDDOWN(F42,0)</f>
        <v>2</v>
      </c>
    </row>
    <row r="44" spans="2:9" s="44" customFormat="1" ht="14.5" customHeight="1" x14ac:dyDescent="0.35">
      <c r="B44" s="134" t="s">
        <v>447</v>
      </c>
      <c r="C44" s="134"/>
      <c r="D44" s="45"/>
      <c r="E44" s="85" t="s">
        <v>70</v>
      </c>
      <c r="F44" s="46">
        <f>F5-F43*F41</f>
        <v>10</v>
      </c>
    </row>
    <row r="46" spans="2:9" ht="14.5" customHeight="1" x14ac:dyDescent="0.35">
      <c r="B46" s="125" t="s">
        <v>127</v>
      </c>
      <c r="C46" s="125"/>
      <c r="D46" s="125"/>
      <c r="E46" s="125"/>
      <c r="F46" s="125"/>
    </row>
    <row r="47" spans="2:9" ht="14.5" customHeight="1" x14ac:dyDescent="0.35">
      <c r="B47" s="47"/>
      <c r="C47" s="47"/>
      <c r="D47" s="47"/>
      <c r="E47" s="47"/>
      <c r="F47" s="47"/>
    </row>
    <row r="48" spans="2:9" ht="14.5" customHeight="1" x14ac:dyDescent="0.35">
      <c r="B48" s="136" t="s">
        <v>575</v>
      </c>
      <c r="C48" s="136"/>
      <c r="D48" s="83" t="s">
        <v>601</v>
      </c>
      <c r="E48" s="40" t="s">
        <v>134</v>
      </c>
      <c r="F48" s="25">
        <v>2.6</v>
      </c>
    </row>
    <row r="49" spans="2:6" s="59" customFormat="1" ht="14.5" customHeight="1" x14ac:dyDescent="0.35">
      <c r="B49" s="136" t="s">
        <v>576</v>
      </c>
      <c r="C49" s="136"/>
      <c r="D49" s="83" t="s">
        <v>602</v>
      </c>
      <c r="E49" s="59" t="s">
        <v>134</v>
      </c>
      <c r="F49" s="25">
        <v>2.6</v>
      </c>
    </row>
    <row r="50" spans="2:6" s="92" customFormat="1" ht="14.5" customHeight="1" x14ac:dyDescent="0.35">
      <c r="B50" s="136" t="s">
        <v>600</v>
      </c>
      <c r="C50" s="136"/>
      <c r="D50" s="92" t="s">
        <v>603</v>
      </c>
      <c r="E50" s="92" t="s">
        <v>134</v>
      </c>
      <c r="F50" s="25">
        <v>0</v>
      </c>
    </row>
    <row r="51" spans="2:6" s="83" customFormat="1" ht="14.5" customHeight="1" x14ac:dyDescent="0.35">
      <c r="B51" s="86"/>
      <c r="C51" s="86"/>
      <c r="F51" s="24"/>
    </row>
    <row r="52" spans="2:6" ht="14.5" customHeight="1" x14ac:dyDescent="0.35">
      <c r="B52" s="131" t="s">
        <v>577</v>
      </c>
      <c r="C52" s="131"/>
      <c r="D52" s="83" t="s">
        <v>604</v>
      </c>
      <c r="E52" s="40" t="s">
        <v>131</v>
      </c>
      <c r="F52" s="24">
        <f>SUM(roll!L5:L54)</f>
        <v>727972492.79347718</v>
      </c>
    </row>
    <row r="53" spans="2:6" ht="14.5" customHeight="1" x14ac:dyDescent="0.35">
      <c r="B53" s="131" t="s">
        <v>578</v>
      </c>
      <c r="C53" s="131"/>
      <c r="D53" s="83" t="s">
        <v>605</v>
      </c>
      <c r="E53" s="59" t="s">
        <v>131</v>
      </c>
      <c r="F53" s="24">
        <f>SUM(roll!P5:P54)</f>
        <v>4147134492.50984</v>
      </c>
    </row>
    <row r="54" spans="2:6" s="92" customFormat="1" ht="14.5" customHeight="1" x14ac:dyDescent="0.35">
      <c r="B54" s="131" t="s">
        <v>608</v>
      </c>
      <c r="C54" s="131"/>
      <c r="D54" s="92" t="s">
        <v>606</v>
      </c>
      <c r="E54" s="92" t="s">
        <v>131</v>
      </c>
      <c r="F54" s="24">
        <f>SUM(roll!T5:T54)</f>
        <v>414713.44925098401</v>
      </c>
    </row>
    <row r="55" spans="2:6" s="92" customFormat="1" ht="14.5" customHeight="1" x14ac:dyDescent="0.35">
      <c r="B55" s="131" t="s">
        <v>609</v>
      </c>
      <c r="C55" s="131"/>
      <c r="D55" s="92" t="s">
        <v>607</v>
      </c>
      <c r="E55" s="92" t="s">
        <v>131</v>
      </c>
      <c r="F55" s="24">
        <f>SUM(roll!X5:X54)</f>
        <v>0</v>
      </c>
    </row>
    <row r="57" spans="2:6" ht="14.5" customHeight="1" x14ac:dyDescent="0.35">
      <c r="B57" s="131" t="s">
        <v>129</v>
      </c>
      <c r="C57" s="131"/>
      <c r="D57" s="84" t="s">
        <v>130</v>
      </c>
      <c r="E57" s="83" t="s">
        <v>131</v>
      </c>
      <c r="F57" s="24">
        <f>SUM(F52:F55)</f>
        <v>4875521698.7525682</v>
      </c>
    </row>
    <row r="58" spans="2:6" ht="14.5" customHeight="1" x14ac:dyDescent="0.35">
      <c r="B58" s="83"/>
      <c r="C58" s="83"/>
      <c r="E58" s="83" t="s">
        <v>558</v>
      </c>
      <c r="F58" s="113">
        <f>F57/1000</f>
        <v>4875521.6987525681</v>
      </c>
    </row>
  </sheetData>
  <mergeCells count="48">
    <mergeCell ref="B32:C32"/>
    <mergeCell ref="B33:C33"/>
    <mergeCell ref="B35:F35"/>
    <mergeCell ref="B2:F2"/>
    <mergeCell ref="B4:C4"/>
    <mergeCell ref="B7:F7"/>
    <mergeCell ref="B9:C9"/>
    <mergeCell ref="B11:C11"/>
    <mergeCell ref="B5:C5"/>
    <mergeCell ref="G11:H11"/>
    <mergeCell ref="G14:H14"/>
    <mergeCell ref="G20:H20"/>
    <mergeCell ref="B20:C20"/>
    <mergeCell ref="B12:C12"/>
    <mergeCell ref="B15:C15"/>
    <mergeCell ref="B14:C14"/>
    <mergeCell ref="B54:C54"/>
    <mergeCell ref="B55:C55"/>
    <mergeCell ref="B57:C57"/>
    <mergeCell ref="B17:C17"/>
    <mergeCell ref="G17:H17"/>
    <mergeCell ref="B18:C18"/>
    <mergeCell ref="B29:C29"/>
    <mergeCell ref="B30:C30"/>
    <mergeCell ref="B21:C21"/>
    <mergeCell ref="B26:C26"/>
    <mergeCell ref="B27:C27"/>
    <mergeCell ref="B53:C53"/>
    <mergeCell ref="B49:C49"/>
    <mergeCell ref="B52:C52"/>
    <mergeCell ref="B23:C23"/>
    <mergeCell ref="B24:C24"/>
    <mergeCell ref="B50:C50"/>
    <mergeCell ref="B48:C48"/>
    <mergeCell ref="G23:H23"/>
    <mergeCell ref="G26:H26"/>
    <mergeCell ref="G29:H29"/>
    <mergeCell ref="G32:H32"/>
    <mergeCell ref="B37:C37"/>
    <mergeCell ref="G24:H24"/>
    <mergeCell ref="B38:C38"/>
    <mergeCell ref="B39:C39"/>
    <mergeCell ref="B40:C40"/>
    <mergeCell ref="B41:C41"/>
    <mergeCell ref="B46:F46"/>
    <mergeCell ref="B42:C42"/>
    <mergeCell ref="B43:C43"/>
    <mergeCell ref="B44:C44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8292F10-2585-4492-B208-CF613269C753}">
          <x14:formula1>
            <xm:f>prms!$AA$5:$AA$9</xm:f>
          </x14:formula1>
          <xm:sqref>F23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AD80-300E-4752-A7AA-B217066ED3CC}">
  <dimension ref="B2:I146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59"/>
    <col min="2" max="3" width="15.6328125" style="59" customWidth="1"/>
    <col min="4" max="4" width="12.6328125" style="59" customWidth="1"/>
    <col min="5" max="5" width="12.6328125" style="59"/>
    <col min="6" max="6" width="20.6328125" style="59" customWidth="1"/>
    <col min="7" max="9" width="12.6328125" style="59" customWidth="1"/>
    <col min="10" max="16384" width="12.6328125" style="59"/>
  </cols>
  <sheetData>
    <row r="2" spans="2:8" ht="14.5" customHeight="1" x14ac:dyDescent="0.35">
      <c r="B2" s="133" t="s">
        <v>30</v>
      </c>
      <c r="C2" s="133"/>
      <c r="D2" s="133"/>
      <c r="E2" s="133"/>
      <c r="F2" s="133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59" t="s">
        <v>0</v>
      </c>
      <c r="F4" s="59">
        <v>1000</v>
      </c>
    </row>
    <row r="5" spans="2:8" ht="14.5" customHeight="1" x14ac:dyDescent="0.35">
      <c r="D5" s="12"/>
    </row>
    <row r="6" spans="2:8" ht="14.5" customHeight="1" x14ac:dyDescent="0.35">
      <c r="B6" s="133" t="s">
        <v>583</v>
      </c>
      <c r="C6" s="133"/>
      <c r="D6" s="133"/>
      <c r="E6" s="133"/>
      <c r="F6" s="133"/>
    </row>
    <row r="7" spans="2:8" ht="14.5" customHeight="1" x14ac:dyDescent="0.35">
      <c r="D7" s="12"/>
    </row>
    <row r="8" spans="2:8" ht="14.5" customHeight="1" x14ac:dyDescent="0.35">
      <c r="B8" s="134" t="s">
        <v>446</v>
      </c>
      <c r="C8" s="134"/>
      <c r="D8" s="45"/>
      <c r="E8" s="99" t="s">
        <v>70</v>
      </c>
      <c r="F8" s="46">
        <f>ROUNDUP('3 ROLL'!F42,0)</f>
        <v>3</v>
      </c>
    </row>
    <row r="10" spans="2:8" ht="14.5" customHeight="1" x14ac:dyDescent="0.35">
      <c r="B10" s="133" t="s">
        <v>610</v>
      </c>
      <c r="C10" s="133"/>
      <c r="D10" s="133"/>
      <c r="E10" s="133"/>
      <c r="F10" s="133"/>
    </row>
    <row r="11" spans="2:8" ht="14.5" customHeight="1" x14ac:dyDescent="0.35">
      <c r="B11" s="8"/>
      <c r="C11" s="8"/>
      <c r="D11" s="8"/>
      <c r="E11" s="8"/>
      <c r="F11" s="8"/>
    </row>
    <row r="12" spans="2:8" ht="14.5" customHeight="1" x14ac:dyDescent="0.35">
      <c r="B12" s="131" t="s">
        <v>611</v>
      </c>
      <c r="C12" s="131"/>
      <c r="D12" s="12"/>
      <c r="E12" s="59" t="s">
        <v>0</v>
      </c>
      <c r="F12" s="3">
        <v>16</v>
      </c>
    </row>
    <row r="13" spans="2:8" ht="14.5" customHeight="1" x14ac:dyDescent="0.35">
      <c r="B13" s="131" t="s">
        <v>612</v>
      </c>
      <c r="C13" s="131"/>
      <c r="D13" s="12"/>
      <c r="E13" s="59" t="s">
        <v>0</v>
      </c>
      <c r="F13" s="3">
        <v>0.1</v>
      </c>
    </row>
    <row r="14" spans="2:8" ht="14.5" customHeight="1" x14ac:dyDescent="0.35">
      <c r="B14" s="135" t="s">
        <v>379</v>
      </c>
      <c r="C14" s="135"/>
      <c r="D14" s="7"/>
      <c r="E14" s="61" t="s">
        <v>70</v>
      </c>
      <c r="F14" s="3" t="s">
        <v>370</v>
      </c>
      <c r="G14" s="132" t="s">
        <v>464</v>
      </c>
      <c r="H14" s="132"/>
    </row>
    <row r="15" spans="2:8" ht="14.5" customHeight="1" x14ac:dyDescent="0.35">
      <c r="B15" s="134" t="s">
        <v>3</v>
      </c>
      <c r="C15" s="134"/>
      <c r="D15" s="34" t="s">
        <v>380</v>
      </c>
      <c r="E15" s="62" t="s">
        <v>29</v>
      </c>
      <c r="F15" s="59">
        <f xml:space="preserve">
IF(
F14=prms!$B$5,prms!$C$5,
IF(F14=prms!$B$6,prms!$C$6,
IF(F14=prms!$B$7,prms!$C$7,
IF(F14=prms!$B$8,prms!$C$8,
IF(F14=prms!$B$9,prms!$C$9,
IF(F14=prms!$B$10,prms!$C$10,
IF(F14=prms!$B$11,prms!$C$11,
IF(F14=prms!$B$12,prms!$C$12,
IF(F14=prms!$B$13,prms!$C$13,
IF(F14=prms!$B$14,prms!$C$14,
IF(F14=prms!$B$15,prms!$C$15,
IF(F14=prms!$B$16,prms!$C$16,
IF(F14=prms!$B$17,prms!$C$17,
IF(F14=prms!$B$18,prms!$C$18,
IF(F14=prms!$B$19,prms!$C$19,
IF(F14=prms!$B$20,prms!$C$20,
IF(F14=prms!$B$21,prms!$C$21,
IF(F14=prms!$B$22,prms!$C$22,
IF(F14=prms!$B$23,prms!$C$23,
IF(F14=prms!$B$24,prms!$C$24,
IF(F14=prms!$B$25,prms!$C$25,
IF(F14=prms!$B$26,prms!$C$26,
IF(F14=prms!$B$27,prms!$C$27,
IF(F14=prms!$B$28,prms!$C$28,
IF(F14=prms!$B$29,prms!$C$29,
)))))))))))))))))))))))))</f>
        <v>2200</v>
      </c>
    </row>
    <row r="16" spans="2:8" ht="14.5" customHeight="1" x14ac:dyDescent="0.35">
      <c r="B16" s="134" t="s">
        <v>4</v>
      </c>
      <c r="C16" s="134"/>
      <c r="D16" s="34" t="s">
        <v>381</v>
      </c>
      <c r="E16" s="62" t="s">
        <v>29</v>
      </c>
      <c r="F16" s="59" t="str">
        <f xml:space="preserve">
IF(
F14=prms!$B$5,prms!$D$5,
IF(F14=prms!$B$6,prms!$D$6,
IF(F14=prms!$B$7,prms!$D$7,
IF(F14=prms!$B$8,prms!$D$8,
IF(F14=prms!$B$9,prms!$D$9,
IF(F14=prms!$B$10,prms!$D$10,
IF(F14=prms!$B$11,prms!$D$11,
IF(F14=prms!$B$12,prms!$D$12,
IF(F14=prms!$B$13,prms!$D$13,
IF(F14=prms!$B$14,prms!$D$14,
IF(F14=prms!$B$15,prms!$D$15,
IF(F14=prms!$B$16,prms!$D$16,
IF(F14=prms!$B$17,prms!$D$17,
IF(F14=prms!$B$18,prms!$D$18,
IF(F14=prms!$B$19,prms!$D$19,
IF(F14=prms!$B$20,prms!$D$20,
IF(F14=prms!$B$21,prms!$D$21,
IF(F14=prms!$B$22,prms!$D$22,
IF(F14=prms!$B$23,prms!$D$23,
IF(F14=prms!$B$24,prms!$D$24,
IF(F14=prms!$B$25,prms!$D$25,
IF(F14=prms!$B$26,prms!$D$26,
IF(F14=prms!$B$27,prms!$D$27,
IF(F14=prms!$B$28,prms!$D$28,
IF(F14=prms!$B$29,prms!$D$29)))))))))))))))))))))))))</f>
        <v>/</v>
      </c>
    </row>
    <row r="17" spans="2:9" ht="14.5" customHeight="1" x14ac:dyDescent="0.35">
      <c r="B17" s="62"/>
      <c r="C17" s="62"/>
      <c r="D17" s="34"/>
      <c r="E17" s="62"/>
    </row>
    <row r="18" spans="2:9" ht="14.5" customHeight="1" x14ac:dyDescent="0.35">
      <c r="B18" s="134" t="s">
        <v>615</v>
      </c>
      <c r="C18" s="134"/>
      <c r="D18" s="34"/>
      <c r="E18" s="62" t="s">
        <v>99</v>
      </c>
      <c r="F18" s="59">
        <f>F4*F12*F13</f>
        <v>1600</v>
      </c>
    </row>
    <row r="19" spans="2:9" ht="14.5" customHeight="1" x14ac:dyDescent="0.35">
      <c r="B19" s="62"/>
      <c r="C19" s="62"/>
      <c r="D19" s="34"/>
      <c r="E19" s="62"/>
    </row>
    <row r="20" spans="2:9" ht="14.5" customHeight="1" x14ac:dyDescent="0.35">
      <c r="B20" s="133" t="s">
        <v>518</v>
      </c>
      <c r="C20" s="133"/>
      <c r="D20" s="133"/>
      <c r="E20" s="133"/>
      <c r="F20" s="133"/>
    </row>
    <row r="21" spans="2:9" ht="14.5" customHeight="1" x14ac:dyDescent="0.35">
      <c r="F21" s="16"/>
    </row>
    <row r="22" spans="2:9" ht="14.5" customHeight="1" x14ac:dyDescent="0.35">
      <c r="B22" s="131" t="s">
        <v>498</v>
      </c>
      <c r="C22" s="131"/>
      <c r="D22" s="35"/>
      <c r="E22" s="59" t="s">
        <v>559</v>
      </c>
      <c r="F22" s="18" t="s">
        <v>520</v>
      </c>
    </row>
    <row r="23" spans="2:9" ht="14.5" customHeight="1" x14ac:dyDescent="0.35">
      <c r="B23" s="131" t="s">
        <v>81</v>
      </c>
      <c r="C23" s="131"/>
      <c r="D23" s="62" t="s">
        <v>613</v>
      </c>
      <c r="E23" s="59" t="s">
        <v>503</v>
      </c>
      <c r="F23" s="28">
        <v>1250</v>
      </c>
      <c r="G23" s="132" t="s">
        <v>84</v>
      </c>
      <c r="H23" s="132"/>
      <c r="I23" s="60" t="str">
        <f>IF(F22=prms!$AN$5,prms!$AO$5, 1)</f>
        <v>1000 - 1500</v>
      </c>
    </row>
    <row r="24" spans="2:9" ht="14.5" customHeight="1" x14ac:dyDescent="0.35">
      <c r="B24" s="131" t="s">
        <v>143</v>
      </c>
      <c r="C24" s="131"/>
      <c r="D24" s="62" t="s">
        <v>614</v>
      </c>
      <c r="E24" s="62" t="s">
        <v>504</v>
      </c>
      <c r="F24" s="28">
        <v>40</v>
      </c>
      <c r="G24" s="132" t="s">
        <v>84</v>
      </c>
      <c r="H24" s="132"/>
      <c r="I24" s="60" t="str">
        <f>IF(F22=prms!$AN$5,prms!$AP$5, 1)</f>
        <v>30 - 50</v>
      </c>
    </row>
    <row r="25" spans="2:9" ht="14.5" customHeight="1" x14ac:dyDescent="0.35">
      <c r="B25" s="131" t="s">
        <v>506</v>
      </c>
      <c r="C25" s="131"/>
      <c r="E25" s="59" t="s">
        <v>99</v>
      </c>
      <c r="F25" s="24">
        <f>F13*$F$4*$F$12</f>
        <v>1600</v>
      </c>
    </row>
    <row r="26" spans="2:9" ht="14.5" customHeight="1" x14ac:dyDescent="0.35">
      <c r="B26" s="62"/>
      <c r="C26" s="62"/>
      <c r="D26" s="34"/>
      <c r="E26" s="62"/>
    </row>
    <row r="27" spans="2:9" ht="14.5" customHeight="1" x14ac:dyDescent="0.35">
      <c r="B27" s="133" t="s">
        <v>383</v>
      </c>
      <c r="C27" s="133"/>
      <c r="D27" s="133"/>
      <c r="E27" s="133"/>
      <c r="F27" s="133"/>
    </row>
    <row r="28" spans="2:9" ht="14.5" customHeight="1" x14ac:dyDescent="0.35">
      <c r="B28" s="8"/>
      <c r="C28" s="8"/>
      <c r="D28" s="8"/>
      <c r="E28" s="8"/>
      <c r="F28" s="8"/>
    </row>
    <row r="29" spans="2:9" ht="14.5" customHeight="1" x14ac:dyDescent="0.35">
      <c r="B29" s="131" t="s">
        <v>398</v>
      </c>
      <c r="C29" s="131"/>
      <c r="D29" s="35"/>
      <c r="E29" s="97" t="s">
        <v>559</v>
      </c>
      <c r="F29" s="3" t="s">
        <v>385</v>
      </c>
      <c r="G29" s="32"/>
      <c r="H29" s="32"/>
    </row>
    <row r="30" spans="2:9" ht="14.5" customHeight="1" x14ac:dyDescent="0.35">
      <c r="B30" s="131" t="s">
        <v>37</v>
      </c>
      <c r="C30" s="131"/>
      <c r="D30" s="62"/>
      <c r="E30" s="59" t="s">
        <v>38</v>
      </c>
      <c r="F30" s="3">
        <v>40</v>
      </c>
      <c r="G30" s="132" t="s">
        <v>84</v>
      </c>
      <c r="H30" s="132"/>
      <c r="I30" s="60" t="str">
        <f>IF(F29=prms!$V$5,prms!$W$5, IF('3 MNTN'!F29=prms!$V$6,prms!$W$6,IF('3 MNTN'!F29=prms!$V$7,prms!$W$7,1 )))</f>
        <v>34 - 55</v>
      </c>
    </row>
    <row r="31" spans="2:9" ht="14.5" customHeight="1" x14ac:dyDescent="0.35">
      <c r="B31" s="131" t="s">
        <v>395</v>
      </c>
      <c r="C31" s="131"/>
      <c r="D31" s="62"/>
      <c r="E31" s="59" t="s">
        <v>99</v>
      </c>
      <c r="F31" s="25">
        <v>3.5</v>
      </c>
      <c r="G31" s="132" t="s">
        <v>84</v>
      </c>
      <c r="H31" s="132"/>
      <c r="I31" s="60" t="str">
        <f>IF(F29=prms!$V$5,prms!$Y$5, IF('3 MNTN'!F29=prms!$V$6,prms!$Y$6,IF('3 MNTN'!F29=prms!$V$7,prms!$Y$7,1 )))</f>
        <v>3 - 4</v>
      </c>
    </row>
    <row r="32" spans="2:9" ht="14.5" customHeight="1" x14ac:dyDescent="0.35">
      <c r="B32" s="131" t="s">
        <v>45</v>
      </c>
      <c r="C32" s="131"/>
      <c r="D32" s="62" t="s">
        <v>400</v>
      </c>
      <c r="E32" s="59" t="s">
        <v>46</v>
      </c>
      <c r="F32" s="3">
        <v>0.25</v>
      </c>
      <c r="G32" s="132" t="s">
        <v>83</v>
      </c>
      <c r="H32" s="132"/>
      <c r="I32" s="132"/>
    </row>
    <row r="33" spans="2:9" ht="14.5" customHeight="1" x14ac:dyDescent="0.35">
      <c r="B33" s="131" t="s">
        <v>209</v>
      </c>
      <c r="C33" s="131"/>
      <c r="D33" s="62" t="s">
        <v>401</v>
      </c>
      <c r="E33" s="59" t="s">
        <v>286</v>
      </c>
      <c r="F33" s="3">
        <v>2</v>
      </c>
      <c r="G33" s="132" t="s">
        <v>84</v>
      </c>
      <c r="H33" s="132"/>
      <c r="I33" s="60" t="s">
        <v>211</v>
      </c>
    </row>
    <row r="34" spans="2:9" ht="14.5" customHeight="1" x14ac:dyDescent="0.35">
      <c r="B34" s="131" t="s">
        <v>79</v>
      </c>
      <c r="C34" s="131"/>
      <c r="D34" s="62" t="s">
        <v>402</v>
      </c>
      <c r="E34" s="59" t="s">
        <v>80</v>
      </c>
      <c r="F34" s="3">
        <v>0.85</v>
      </c>
      <c r="G34" s="58"/>
      <c r="H34" s="58"/>
      <c r="I34" s="58"/>
    </row>
    <row r="35" spans="2:9" ht="14.5" customHeight="1" x14ac:dyDescent="0.35">
      <c r="B35" s="131" t="s">
        <v>81</v>
      </c>
      <c r="C35" s="131"/>
      <c r="D35" s="62" t="s">
        <v>403</v>
      </c>
      <c r="E35" s="59" t="s">
        <v>82</v>
      </c>
      <c r="F35" s="18">
        <v>0.01</v>
      </c>
      <c r="G35" s="132" t="s">
        <v>84</v>
      </c>
      <c r="H35" s="132"/>
      <c r="I35" s="60" t="s">
        <v>85</v>
      </c>
    </row>
    <row r="36" spans="2:9" ht="14.5" customHeight="1" x14ac:dyDescent="0.35">
      <c r="B36" s="131" t="s">
        <v>332</v>
      </c>
      <c r="C36" s="131"/>
      <c r="D36" s="62" t="s">
        <v>404</v>
      </c>
      <c r="E36" s="59" t="s">
        <v>70</v>
      </c>
      <c r="F36" s="17">
        <f>0.05862*EXP(0.00101*$F$15)</f>
        <v>0.54081428301620915</v>
      </c>
      <c r="G36" s="58"/>
      <c r="H36" s="58"/>
      <c r="I36" s="58"/>
    </row>
    <row r="37" spans="2:9" ht="14.5" customHeight="1" x14ac:dyDescent="0.35">
      <c r="B37" s="131" t="s">
        <v>78</v>
      </c>
      <c r="C37" s="131"/>
      <c r="D37" s="62" t="s">
        <v>405</v>
      </c>
      <c r="E37" s="59" t="s">
        <v>70</v>
      </c>
      <c r="F37" s="30">
        <f>0.00868*F33+0.15333</f>
        <v>0.17069000000000001</v>
      </c>
    </row>
    <row r="38" spans="2:9" ht="14.5" customHeight="1" x14ac:dyDescent="0.35">
      <c r="B38" s="131" t="s">
        <v>96</v>
      </c>
      <c r="C38" s="131"/>
      <c r="D38" s="62" t="s">
        <v>406</v>
      </c>
      <c r="E38" s="59" t="s">
        <v>88</v>
      </c>
      <c r="F38" s="16">
        <f>F30*F32*( F36+F37 )/2*1/F34*F35</f>
        <v>4.1853193118600543E-2</v>
      </c>
    </row>
    <row r="39" spans="2:9" ht="14.5" customHeight="1" x14ac:dyDescent="0.35">
      <c r="D39" s="62"/>
    </row>
    <row r="40" spans="2:9" ht="14.5" customHeight="1" x14ac:dyDescent="0.35">
      <c r="B40" s="133" t="s">
        <v>283</v>
      </c>
      <c r="C40" s="133"/>
      <c r="D40" s="133"/>
      <c r="E40" s="133"/>
      <c r="F40" s="133"/>
    </row>
    <row r="41" spans="2:9" ht="14.5" customHeight="1" x14ac:dyDescent="0.35">
      <c r="B41" s="8"/>
      <c r="C41" s="8"/>
      <c r="D41" s="8"/>
      <c r="E41" s="8"/>
      <c r="F41" s="8"/>
    </row>
    <row r="42" spans="2:9" ht="14.5" customHeight="1" x14ac:dyDescent="0.35">
      <c r="B42" s="131" t="s">
        <v>285</v>
      </c>
      <c r="C42" s="131"/>
      <c r="D42" s="8"/>
      <c r="E42" s="97" t="s">
        <v>559</v>
      </c>
      <c r="F42" s="33" t="s">
        <v>261</v>
      </c>
    </row>
    <row r="43" spans="2:9" ht="14.5" customHeight="1" x14ac:dyDescent="0.35">
      <c r="B43" s="131" t="s">
        <v>37</v>
      </c>
      <c r="C43" s="131"/>
      <c r="E43" s="59" t="s">
        <v>38</v>
      </c>
      <c r="F43" s="3">
        <v>70</v>
      </c>
      <c r="G43" s="132" t="s">
        <v>84</v>
      </c>
      <c r="H43" s="132"/>
      <c r="I43" s="32" t="str">
        <f>IF($F$42=prms!$Q$5,prms!$R$5,IF($F$42=prms!Q6,prms!$R$6,IF($F$42=prms!$Q$7,prms!$R$7,IF($F$42=prms!$Q$8,prms!$R$8,IF($F$42=prms!$Q$9,prms!R$9,IF($F$42=prms!$Q$10,prms!$R$10,1))))))</f>
        <v>51 - 100</v>
      </c>
    </row>
    <row r="44" spans="2:9" ht="14.5" customHeight="1" x14ac:dyDescent="0.35">
      <c r="B44" s="131" t="s">
        <v>256</v>
      </c>
      <c r="C44" s="131"/>
      <c r="E44" s="59" t="s">
        <v>0</v>
      </c>
      <c r="F44" s="25">
        <v>1.8</v>
      </c>
      <c r="G44" s="132" t="s">
        <v>84</v>
      </c>
      <c r="H44" s="132"/>
      <c r="I44" s="32" t="str">
        <f>IF($F$42=prms!$Q$5,prms!$S$5,IF($F$42=prms!$Q$6,prms!$S$6,IF($F$42=prms!$Q$7,prms!$S$7,IF($F$42=prms!$Q$8,prms!$S$8,IF($F$42=prms!$Q$9,prms!$S$9,IF($F$42=prms!$Q$10,prms!$S$10,1))))))</f>
        <v>1.13 - 2.13</v>
      </c>
    </row>
    <row r="45" spans="2:9" ht="14.5" customHeight="1" x14ac:dyDescent="0.35">
      <c r="B45" s="131" t="s">
        <v>45</v>
      </c>
      <c r="C45" s="131"/>
      <c r="D45" s="59" t="s">
        <v>330</v>
      </c>
      <c r="E45" s="59" t="s">
        <v>46</v>
      </c>
      <c r="F45" s="3">
        <v>0.25</v>
      </c>
      <c r="G45" s="132" t="s">
        <v>83</v>
      </c>
      <c r="H45" s="132"/>
      <c r="I45" s="132"/>
    </row>
    <row r="46" spans="2:9" ht="14.5" customHeight="1" x14ac:dyDescent="0.35">
      <c r="B46" s="131" t="s">
        <v>209</v>
      </c>
      <c r="C46" s="131"/>
      <c r="D46" s="59" t="s">
        <v>287</v>
      </c>
      <c r="E46" s="59" t="s">
        <v>286</v>
      </c>
      <c r="F46" s="3">
        <v>2</v>
      </c>
      <c r="G46" s="132" t="s">
        <v>84</v>
      </c>
      <c r="H46" s="132"/>
      <c r="I46" s="60" t="s">
        <v>211</v>
      </c>
    </row>
    <row r="47" spans="2:9" ht="14.5" customHeight="1" x14ac:dyDescent="0.35">
      <c r="B47" s="131" t="s">
        <v>79</v>
      </c>
      <c r="C47" s="131"/>
      <c r="D47" s="34" t="s">
        <v>288</v>
      </c>
      <c r="E47" s="59" t="s">
        <v>80</v>
      </c>
      <c r="F47" s="3">
        <v>0.85</v>
      </c>
      <c r="G47" s="58"/>
      <c r="H47" s="58"/>
      <c r="I47" s="58"/>
    </row>
    <row r="48" spans="2:9" ht="14.5" customHeight="1" x14ac:dyDescent="0.35">
      <c r="B48" s="131" t="s">
        <v>81</v>
      </c>
      <c r="C48" s="131"/>
      <c r="D48" s="11" t="s">
        <v>331</v>
      </c>
      <c r="E48" s="59" t="s">
        <v>82</v>
      </c>
      <c r="F48" s="18">
        <v>0.01</v>
      </c>
      <c r="G48" s="132" t="s">
        <v>84</v>
      </c>
      <c r="H48" s="132"/>
      <c r="I48" s="60" t="s">
        <v>85</v>
      </c>
    </row>
    <row r="49" spans="2:9" ht="14.5" customHeight="1" x14ac:dyDescent="0.35">
      <c r="B49" s="131" t="s">
        <v>332</v>
      </c>
      <c r="C49" s="131"/>
      <c r="D49" s="59" t="s">
        <v>333</v>
      </c>
      <c r="E49" s="59" t="s">
        <v>70</v>
      </c>
      <c r="F49" s="17">
        <f>0.05173*EXP(0.00142*$F$15)</f>
        <v>1.1761925923034571</v>
      </c>
      <c r="G49" s="58"/>
      <c r="H49" s="58"/>
      <c r="I49" s="58"/>
    </row>
    <row r="50" spans="2:9" ht="14.5" customHeight="1" x14ac:dyDescent="0.35">
      <c r="B50" s="131" t="s">
        <v>78</v>
      </c>
      <c r="C50" s="131"/>
      <c r="D50" s="59" t="s">
        <v>334</v>
      </c>
      <c r="E50" s="59" t="s">
        <v>70</v>
      </c>
      <c r="F50" s="30">
        <f>0.21032*F46^0.4321</f>
        <v>0.28376291328699671</v>
      </c>
    </row>
    <row r="51" spans="2:9" ht="14.5" customHeight="1" x14ac:dyDescent="0.35">
      <c r="B51" s="131" t="s">
        <v>96</v>
      </c>
      <c r="C51" s="131"/>
      <c r="D51" s="59" t="s">
        <v>335</v>
      </c>
      <c r="E51" s="59" t="s">
        <v>88</v>
      </c>
      <c r="F51" s="16">
        <f>F43*F45*( F49 +F50 )/2*1/F47*F48</f>
        <v>0.15028953734019376</v>
      </c>
    </row>
    <row r="52" spans="2:9" s="97" customFormat="1" ht="14.5" customHeight="1" x14ac:dyDescent="0.35">
      <c r="F52" s="16"/>
    </row>
    <row r="53" spans="2:9" s="97" customFormat="1" ht="14.5" customHeight="1" x14ac:dyDescent="0.35">
      <c r="B53" s="133" t="s">
        <v>517</v>
      </c>
      <c r="C53" s="133"/>
      <c r="D53" s="133"/>
      <c r="E53" s="133"/>
      <c r="F53" s="133"/>
      <c r="G53" s="59"/>
      <c r="H53" s="59"/>
      <c r="I53" s="59"/>
    </row>
    <row r="54" spans="2:9" s="97" customFormat="1" ht="14.5" customHeight="1" x14ac:dyDescent="0.35">
      <c r="B54" s="59"/>
      <c r="C54" s="59"/>
      <c r="D54" s="59"/>
      <c r="E54" s="59"/>
      <c r="F54" s="16"/>
      <c r="G54" s="59"/>
      <c r="H54" s="59"/>
      <c r="I54" s="59"/>
    </row>
    <row r="55" spans="2:9" s="97" customFormat="1" ht="14.5" customHeight="1" x14ac:dyDescent="0.35">
      <c r="B55" s="131" t="s">
        <v>497</v>
      </c>
      <c r="C55" s="131"/>
      <c r="D55" s="12"/>
      <c r="E55" s="61" t="s">
        <v>70</v>
      </c>
      <c r="F55" s="3">
        <v>1</v>
      </c>
      <c r="G55" s="132" t="s">
        <v>101</v>
      </c>
      <c r="H55" s="132"/>
      <c r="I55" s="59"/>
    </row>
    <row r="56" spans="2:9" s="97" customFormat="1" ht="14.5" customHeight="1" x14ac:dyDescent="0.35">
      <c r="B56" s="131" t="s">
        <v>498</v>
      </c>
      <c r="C56" s="131"/>
      <c r="D56" s="35"/>
      <c r="E56" s="97" t="s">
        <v>559</v>
      </c>
      <c r="F56" s="18" t="s">
        <v>500</v>
      </c>
      <c r="G56" s="59"/>
      <c r="H56" s="59"/>
      <c r="I56" s="59"/>
    </row>
    <row r="57" spans="2:9" s="97" customFormat="1" ht="14.5" customHeight="1" x14ac:dyDescent="0.35">
      <c r="B57" s="131" t="s">
        <v>81</v>
      </c>
      <c r="C57" s="131"/>
      <c r="D57" s="62" t="s">
        <v>511</v>
      </c>
      <c r="E57" s="59" t="s">
        <v>503</v>
      </c>
      <c r="F57" s="28">
        <v>150</v>
      </c>
      <c r="G57" s="132" t="s">
        <v>84</v>
      </c>
      <c r="H57" s="132"/>
      <c r="I57" s="60" t="str">
        <f>IF(F56=prms!$AF$5,prms!$AG$5, 1)</f>
        <v>100 - 200</v>
      </c>
    </row>
    <row r="58" spans="2:9" s="97" customFormat="1" ht="14.5" customHeight="1" x14ac:dyDescent="0.35">
      <c r="B58" s="131" t="s">
        <v>143</v>
      </c>
      <c r="C58" s="131"/>
      <c r="D58" s="62" t="s">
        <v>512</v>
      </c>
      <c r="E58" s="62" t="s">
        <v>504</v>
      </c>
      <c r="F58" s="28">
        <v>2</v>
      </c>
      <c r="G58" s="132" t="s">
        <v>84</v>
      </c>
      <c r="H58" s="132"/>
      <c r="I58" s="60" t="str">
        <f>IF(F56=prms!$AF$5,prms!$AH$5, 1)</f>
        <v>1 -3</v>
      </c>
    </row>
    <row r="59" spans="2:9" s="97" customFormat="1" ht="14.5" customHeight="1" x14ac:dyDescent="0.35">
      <c r="B59" s="131" t="s">
        <v>514</v>
      </c>
      <c r="C59" s="131"/>
      <c r="D59" s="62"/>
      <c r="E59" s="59" t="s">
        <v>0</v>
      </c>
      <c r="F59" s="18">
        <v>5.0000000000000001E-3</v>
      </c>
      <c r="G59" s="59"/>
      <c r="H59" s="59"/>
      <c r="I59" s="59"/>
    </row>
    <row r="60" spans="2:9" s="97" customFormat="1" ht="14.5" customHeight="1" x14ac:dyDescent="0.35">
      <c r="B60" s="131" t="s">
        <v>506</v>
      </c>
      <c r="C60" s="131"/>
      <c r="D60" s="59"/>
      <c r="E60" s="59" t="s">
        <v>99</v>
      </c>
      <c r="F60" s="24">
        <f>F59*$F$4*$F$12</f>
        <v>80</v>
      </c>
      <c r="G60" s="59"/>
      <c r="H60" s="59"/>
      <c r="I60" s="59"/>
    </row>
    <row r="61" spans="2:9" ht="14.5" customHeight="1" x14ac:dyDescent="0.35">
      <c r="D61" s="62"/>
    </row>
    <row r="62" spans="2:9" ht="14.5" customHeight="1" x14ac:dyDescent="0.35">
      <c r="B62" s="133" t="s">
        <v>407</v>
      </c>
      <c r="C62" s="133"/>
      <c r="D62" s="133"/>
      <c r="E62" s="133"/>
      <c r="F62" s="133"/>
    </row>
    <row r="63" spans="2:9" ht="14.5" customHeight="1" x14ac:dyDescent="0.35">
      <c r="F63" s="16"/>
    </row>
    <row r="64" spans="2:9" ht="14.5" customHeight="1" x14ac:dyDescent="0.35">
      <c r="B64" s="131" t="s">
        <v>148</v>
      </c>
      <c r="C64" s="131"/>
      <c r="D64" s="12"/>
      <c r="E64" s="61" t="s">
        <v>70</v>
      </c>
      <c r="F64" s="3">
        <v>1</v>
      </c>
      <c r="G64" s="132" t="s">
        <v>101</v>
      </c>
      <c r="H64" s="132"/>
    </row>
    <row r="65" spans="2:9" ht="14.5" customHeight="1" x14ac:dyDescent="0.35">
      <c r="B65" s="131" t="s">
        <v>149</v>
      </c>
      <c r="C65" s="131"/>
      <c r="D65" s="35"/>
      <c r="E65" s="97" t="s">
        <v>559</v>
      </c>
      <c r="F65" s="18" t="s">
        <v>135</v>
      </c>
    </row>
    <row r="66" spans="2:9" ht="14.5" customHeight="1" x14ac:dyDescent="0.35">
      <c r="B66" s="131" t="s">
        <v>160</v>
      </c>
      <c r="C66" s="131"/>
      <c r="D66" s="62" t="s">
        <v>161</v>
      </c>
      <c r="E66" s="59" t="s">
        <v>99</v>
      </c>
      <c r="F66" s="27">
        <v>7.5</v>
      </c>
      <c r="G66" s="132" t="s">
        <v>84</v>
      </c>
      <c r="H66" s="132"/>
      <c r="I66" s="60" t="str">
        <f>IF(F65=prms!$AA$5,prms!$AC$5, IF(F65=prms!$AA$6,prms!$AC$6, IF(F65=prms!$AA$7,prms!$AC$7, IF(F65=prms!$AA$8,prms!$AC$8,IF(F65=prms!$AA$9,prms!$AC$9,1)))))</f>
        <v>5 - 10</v>
      </c>
    </row>
    <row r="67" spans="2:9" ht="14.5" customHeight="1" x14ac:dyDescent="0.35">
      <c r="B67" s="131" t="s">
        <v>143</v>
      </c>
      <c r="C67" s="131"/>
      <c r="D67" s="62" t="s">
        <v>164</v>
      </c>
      <c r="E67" s="62" t="s">
        <v>144</v>
      </c>
      <c r="F67" s="25">
        <v>0.15</v>
      </c>
      <c r="G67" s="132" t="s">
        <v>84</v>
      </c>
      <c r="H67" s="132"/>
      <c r="I67" s="60" t="str">
        <f>IF(F65=prms!$AA$5,prms!$AD$5, IF(F65=prms!$AA$6,prms!$AD$6, IF(F65=prms!$AA$7,prms!$AD$7, IF(F65=prms!$AA$8,prms!$AD$8,IF(F65=prms!$AA$9,prms!$AD$9,1)))))</f>
        <v>0.2 - 0.1</v>
      </c>
    </row>
    <row r="68" spans="2:9" ht="14.5" customHeight="1" x14ac:dyDescent="0.35">
      <c r="B68" s="131" t="s">
        <v>151</v>
      </c>
      <c r="C68" s="131"/>
      <c r="D68" s="62" t="s">
        <v>163</v>
      </c>
      <c r="E68" s="59" t="s">
        <v>152</v>
      </c>
      <c r="F68" s="28">
        <v>10</v>
      </c>
    </row>
    <row r="69" spans="2:9" ht="14.5" customHeight="1" x14ac:dyDescent="0.35">
      <c r="B69" s="131" t="s">
        <v>159</v>
      </c>
      <c r="C69" s="131"/>
      <c r="D69" s="62" t="s">
        <v>165</v>
      </c>
      <c r="E69" s="59" t="s">
        <v>70</v>
      </c>
      <c r="F69" s="27">
        <v>1.7</v>
      </c>
    </row>
    <row r="70" spans="2:9" ht="14.5" customHeight="1" x14ac:dyDescent="0.35">
      <c r="B70" s="131" t="s">
        <v>96</v>
      </c>
      <c r="C70" s="131"/>
      <c r="D70" s="62" t="s">
        <v>308</v>
      </c>
      <c r="E70" s="59" t="s">
        <v>88</v>
      </c>
      <c r="F70" s="16">
        <f>F69*F68*F67/F66</f>
        <v>0.33999999999999997</v>
      </c>
    </row>
    <row r="71" spans="2:9" ht="14.5" customHeight="1" x14ac:dyDescent="0.35">
      <c r="D71" s="62"/>
      <c r="F71" s="16"/>
    </row>
    <row r="72" spans="2:9" ht="14.5" customHeight="1" x14ac:dyDescent="0.35">
      <c r="B72" s="131" t="s">
        <v>166</v>
      </c>
      <c r="C72" s="131"/>
      <c r="D72" s="35"/>
      <c r="E72" s="61" t="s">
        <v>70</v>
      </c>
      <c r="F72" s="3">
        <v>1</v>
      </c>
      <c r="G72" s="132" t="s">
        <v>101</v>
      </c>
      <c r="H72" s="132"/>
    </row>
    <row r="73" spans="2:9" ht="14.5" customHeight="1" x14ac:dyDescent="0.35">
      <c r="B73" s="131" t="s">
        <v>167</v>
      </c>
      <c r="C73" s="131"/>
      <c r="D73" s="35"/>
      <c r="E73" s="97" t="s">
        <v>559</v>
      </c>
      <c r="F73" s="18" t="s">
        <v>136</v>
      </c>
    </row>
    <row r="74" spans="2:9" ht="14.5" customHeight="1" x14ac:dyDescent="0.35">
      <c r="B74" s="131" t="s">
        <v>160</v>
      </c>
      <c r="C74" s="131"/>
      <c r="D74" s="62" t="s">
        <v>168</v>
      </c>
      <c r="E74" s="59" t="s">
        <v>99</v>
      </c>
      <c r="F74" s="27">
        <v>12.5</v>
      </c>
      <c r="G74" s="132" t="s">
        <v>84</v>
      </c>
      <c r="H74" s="132"/>
      <c r="I74" s="60" t="str">
        <f>IF(F73=prms!$AA$5,prms!$AC$5, IF(F73=prms!$AA$6,prms!$AC$6, IF(F73=prms!$AA$7,prms!$AC$7, IF(F73=prms!$AA$8,prms!$AC$8,IF(F73=prms!$AA$9,prms!$AC$9,1)))))</f>
        <v>10 - 15</v>
      </c>
    </row>
    <row r="75" spans="2:9" ht="14.5" customHeight="1" x14ac:dyDescent="0.35">
      <c r="B75" s="131" t="s">
        <v>143</v>
      </c>
      <c r="C75" s="131"/>
      <c r="D75" s="62" t="s">
        <v>169</v>
      </c>
      <c r="E75" s="62" t="s">
        <v>144</v>
      </c>
      <c r="F75" s="25">
        <v>0.25</v>
      </c>
      <c r="G75" s="132" t="s">
        <v>84</v>
      </c>
      <c r="H75" s="132"/>
      <c r="I75" s="60" t="str">
        <f>IF(F73=prms!$AA$5,prms!$AD$5, IF(F73=prms!$AA$6,prms!$AD$6, IF(F73=prms!$AA$7,prms!$AD$7, IF(F73=prms!$AA$8,prms!$AD$8,IF(F73=prms!$AA$9,prms!$AD$9,1)))))</f>
        <v>0.3 - 0.2</v>
      </c>
    </row>
    <row r="76" spans="2:9" ht="14.5" customHeight="1" x14ac:dyDescent="0.35">
      <c r="B76" s="131" t="s">
        <v>151</v>
      </c>
      <c r="C76" s="131"/>
      <c r="D76" s="62" t="s">
        <v>170</v>
      </c>
      <c r="E76" s="59" t="s">
        <v>152</v>
      </c>
      <c r="F76" s="28">
        <v>10</v>
      </c>
    </row>
    <row r="77" spans="2:9" ht="14.5" customHeight="1" x14ac:dyDescent="0.35">
      <c r="B77" s="131" t="s">
        <v>159</v>
      </c>
      <c r="C77" s="131"/>
      <c r="D77" s="62" t="s">
        <v>171</v>
      </c>
      <c r="E77" s="59" t="s">
        <v>70</v>
      </c>
      <c r="F77" s="27">
        <v>1.7</v>
      </c>
    </row>
    <row r="78" spans="2:9" ht="14.5" customHeight="1" x14ac:dyDescent="0.35">
      <c r="B78" s="131" t="s">
        <v>96</v>
      </c>
      <c r="C78" s="131"/>
      <c r="D78" s="62" t="s">
        <v>309</v>
      </c>
      <c r="E78" s="59" t="s">
        <v>88</v>
      </c>
      <c r="F78" s="16">
        <f>F77*F76*F75/F74</f>
        <v>0.34</v>
      </c>
    </row>
    <row r="79" spans="2:9" ht="14.5" customHeight="1" x14ac:dyDescent="0.35">
      <c r="D79" s="62"/>
      <c r="F79" s="16"/>
    </row>
    <row r="80" spans="2:9" ht="14.5" customHeight="1" x14ac:dyDescent="0.35">
      <c r="B80" s="131" t="s">
        <v>172</v>
      </c>
      <c r="C80" s="131"/>
      <c r="D80" s="35"/>
      <c r="E80" s="61" t="s">
        <v>70</v>
      </c>
      <c r="F80" s="3">
        <v>1</v>
      </c>
      <c r="G80" s="132" t="s">
        <v>101</v>
      </c>
      <c r="H80" s="132"/>
    </row>
    <row r="81" spans="2:9" ht="14.5" customHeight="1" x14ac:dyDescent="0.35">
      <c r="B81" s="131" t="s">
        <v>150</v>
      </c>
      <c r="C81" s="131"/>
      <c r="D81" s="35"/>
      <c r="E81" s="97" t="s">
        <v>559</v>
      </c>
      <c r="F81" s="18" t="s">
        <v>137</v>
      </c>
    </row>
    <row r="82" spans="2:9" ht="14.5" customHeight="1" x14ac:dyDescent="0.35">
      <c r="B82" s="131" t="s">
        <v>160</v>
      </c>
      <c r="C82" s="131"/>
      <c r="D82" s="62" t="s">
        <v>173</v>
      </c>
      <c r="E82" s="59" t="s">
        <v>99</v>
      </c>
      <c r="F82" s="27">
        <v>17.5</v>
      </c>
      <c r="G82" s="132" t="s">
        <v>84</v>
      </c>
      <c r="H82" s="132"/>
      <c r="I82" s="60" t="str">
        <f>IF(F81=prms!$AA$5,prms!$AC$5, IF(F81=prms!$AA$6,prms!$AC$6, IF(F81=prms!$AA$7,prms!$AC$7, IF(F81=prms!$AA$8,prms!$AC$8,IF(F81=prms!$AA$9,prms!$AC$9,1)))))</f>
        <v>15 - 20</v>
      </c>
    </row>
    <row r="83" spans="2:9" ht="14.5" customHeight="1" x14ac:dyDescent="0.35">
      <c r="B83" s="131" t="s">
        <v>143</v>
      </c>
      <c r="C83" s="131"/>
      <c r="D83" s="62" t="s">
        <v>162</v>
      </c>
      <c r="E83" s="62" t="s">
        <v>144</v>
      </c>
      <c r="F83" s="25">
        <v>0.35</v>
      </c>
      <c r="G83" s="132" t="s">
        <v>84</v>
      </c>
      <c r="H83" s="132"/>
      <c r="I83" s="60" t="str">
        <f>IF(F81=prms!$AA$5,prms!$AD$5, IF(F81=prms!$AA$6,prms!$AD$6, IF(F81=prms!$AA$7,prms!$AD$7, IF(F81=prms!$AA$8,prms!$AD$8,IF(F81=prms!$AA$9,prms!$AD$9,1)))))</f>
        <v>0.4 - 0.3</v>
      </c>
    </row>
    <row r="84" spans="2:9" ht="14.5" customHeight="1" x14ac:dyDescent="0.35">
      <c r="B84" s="131" t="s">
        <v>151</v>
      </c>
      <c r="C84" s="131"/>
      <c r="D84" s="62" t="s">
        <v>174</v>
      </c>
      <c r="E84" s="59" t="s">
        <v>152</v>
      </c>
      <c r="F84" s="28">
        <v>10</v>
      </c>
    </row>
    <row r="85" spans="2:9" ht="14.5" customHeight="1" x14ac:dyDescent="0.35">
      <c r="B85" s="131" t="s">
        <v>159</v>
      </c>
      <c r="C85" s="131"/>
      <c r="D85" s="62" t="s">
        <v>175</v>
      </c>
      <c r="E85" s="59" t="s">
        <v>70</v>
      </c>
      <c r="F85" s="27">
        <v>1.7</v>
      </c>
    </row>
    <row r="86" spans="2:9" ht="14.5" customHeight="1" x14ac:dyDescent="0.35">
      <c r="B86" s="131" t="s">
        <v>96</v>
      </c>
      <c r="C86" s="131"/>
      <c r="D86" s="62" t="s">
        <v>310</v>
      </c>
      <c r="E86" s="59" t="s">
        <v>88</v>
      </c>
      <c r="F86" s="16">
        <f>F85*F84*F83/F82</f>
        <v>0.33999999999999997</v>
      </c>
    </row>
    <row r="87" spans="2:9" ht="14.5" customHeight="1" x14ac:dyDescent="0.35">
      <c r="D87" s="62"/>
      <c r="F87" s="16"/>
    </row>
    <row r="88" spans="2:9" ht="14.5" customHeight="1" x14ac:dyDescent="0.35">
      <c r="B88" s="125" t="s">
        <v>518</v>
      </c>
      <c r="C88" s="125"/>
      <c r="D88" s="125"/>
      <c r="E88" s="125"/>
      <c r="F88" s="125"/>
    </row>
    <row r="89" spans="2:9" ht="14.5" customHeight="1" x14ac:dyDescent="0.35">
      <c r="B89" s="47"/>
      <c r="C89" s="47"/>
      <c r="D89" s="47"/>
      <c r="E89" s="47"/>
      <c r="F89" s="47"/>
    </row>
    <row r="90" spans="2:9" ht="14.5" customHeight="1" x14ac:dyDescent="0.35">
      <c r="B90" s="131" t="s">
        <v>616</v>
      </c>
      <c r="C90" s="131"/>
      <c r="D90" s="97" t="s">
        <v>617</v>
      </c>
      <c r="E90" s="97" t="s">
        <v>98</v>
      </c>
      <c r="F90" s="24">
        <f>F25/F23*F24</f>
        <v>51.2</v>
      </c>
    </row>
    <row r="91" spans="2:9" ht="14.5" customHeight="1" x14ac:dyDescent="0.35">
      <c r="B91" s="131" t="s">
        <v>132</v>
      </c>
      <c r="C91" s="131"/>
      <c r="D91" s="97" t="s">
        <v>133</v>
      </c>
      <c r="E91" s="97" t="s">
        <v>134</v>
      </c>
      <c r="F91" s="25">
        <v>2.6</v>
      </c>
    </row>
    <row r="92" spans="2:9" ht="14.5" customHeight="1" x14ac:dyDescent="0.35">
      <c r="B92" s="131" t="s">
        <v>129</v>
      </c>
      <c r="C92" s="131"/>
      <c r="D92" s="97" t="s">
        <v>130</v>
      </c>
      <c r="E92" s="97" t="s">
        <v>131</v>
      </c>
      <c r="F92" s="24">
        <f>F90*F91</f>
        <v>133.12</v>
      </c>
    </row>
    <row r="93" spans="2:9" s="97" customFormat="1" ht="14.5" customHeight="1" x14ac:dyDescent="0.35">
      <c r="E93" s="97" t="s">
        <v>558</v>
      </c>
      <c r="F93" s="74">
        <f>F92/1000</f>
        <v>0.13312000000000002</v>
      </c>
    </row>
    <row r="94" spans="2:9" ht="14.5" customHeight="1" x14ac:dyDescent="0.35">
      <c r="F94" s="24"/>
    </row>
    <row r="95" spans="2:9" s="97" customFormat="1" ht="14.5" customHeight="1" x14ac:dyDescent="0.35">
      <c r="B95" s="125" t="s">
        <v>383</v>
      </c>
      <c r="C95" s="125"/>
      <c r="D95" s="125"/>
      <c r="E95" s="125"/>
      <c r="F95" s="125"/>
    </row>
    <row r="96" spans="2:9" s="97" customFormat="1" ht="14.5" customHeight="1" x14ac:dyDescent="0.35">
      <c r="F96" s="24"/>
    </row>
    <row r="97" spans="2:6" ht="14.5" customHeight="1" x14ac:dyDescent="0.35">
      <c r="B97" s="131" t="s">
        <v>408</v>
      </c>
      <c r="C97" s="131"/>
      <c r="E97" s="59" t="s">
        <v>98</v>
      </c>
      <c r="F97" s="24">
        <f>F38*F12*F4*F13</f>
        <v>66.965108989760878</v>
      </c>
    </row>
    <row r="98" spans="2:6" ht="14.5" customHeight="1" x14ac:dyDescent="0.35">
      <c r="B98" s="131" t="s">
        <v>409</v>
      </c>
      <c r="C98" s="131"/>
      <c r="E98" s="99" t="s">
        <v>70</v>
      </c>
      <c r="F98" s="28">
        <v>1</v>
      </c>
    </row>
    <row r="99" spans="2:6" ht="14.5" customHeight="1" x14ac:dyDescent="0.35">
      <c r="F99" s="17"/>
    </row>
    <row r="100" spans="2:6" ht="14.5" customHeight="1" x14ac:dyDescent="0.35">
      <c r="B100" s="131" t="s">
        <v>410</v>
      </c>
      <c r="C100" s="131"/>
      <c r="D100" s="59" t="s">
        <v>411</v>
      </c>
      <c r="E100" s="59" t="s">
        <v>98</v>
      </c>
      <c r="F100" s="24">
        <f>F97*F98</f>
        <v>66.965108989760878</v>
      </c>
    </row>
    <row r="101" spans="2:6" ht="14.5" customHeight="1" x14ac:dyDescent="0.35">
      <c r="B101" s="131" t="s">
        <v>132</v>
      </c>
      <c r="C101" s="131"/>
      <c r="D101" s="59" t="s">
        <v>133</v>
      </c>
      <c r="E101" s="59" t="s">
        <v>134</v>
      </c>
      <c r="F101" s="25">
        <v>2.6</v>
      </c>
    </row>
    <row r="102" spans="2:6" ht="14.5" customHeight="1" x14ac:dyDescent="0.35">
      <c r="B102" s="131" t="s">
        <v>129</v>
      </c>
      <c r="C102" s="131"/>
      <c r="D102" s="59" t="s">
        <v>130</v>
      </c>
      <c r="E102" s="59" t="s">
        <v>131</v>
      </c>
      <c r="F102" s="24">
        <f>F100*F101</f>
        <v>174.1092833733783</v>
      </c>
    </row>
    <row r="103" spans="2:6" s="97" customFormat="1" ht="14.5" customHeight="1" x14ac:dyDescent="0.35">
      <c r="E103" s="97" t="s">
        <v>558</v>
      </c>
      <c r="F103" s="74">
        <f>F102/1000</f>
        <v>0.1741092833733783</v>
      </c>
    </row>
    <row r="104" spans="2:6" s="97" customFormat="1" ht="14.5" customHeight="1" x14ac:dyDescent="0.35">
      <c r="F104" s="24"/>
    </row>
    <row r="105" spans="2:6" ht="14.5" customHeight="1" x14ac:dyDescent="0.35">
      <c r="B105" s="125" t="s">
        <v>283</v>
      </c>
      <c r="C105" s="125"/>
      <c r="D105" s="125"/>
      <c r="E105" s="125"/>
      <c r="F105" s="125"/>
    </row>
    <row r="106" spans="2:6" s="97" customFormat="1" ht="14.5" customHeight="1" x14ac:dyDescent="0.35"/>
    <row r="107" spans="2:6" ht="14.5" customHeight="1" x14ac:dyDescent="0.35">
      <c r="B107" s="131" t="s">
        <v>361</v>
      </c>
      <c r="C107" s="131"/>
      <c r="E107" s="59" t="s">
        <v>98</v>
      </c>
      <c r="F107" s="24">
        <f>F51*F4*F12*F13</f>
        <v>240.46325974431002</v>
      </c>
    </row>
    <row r="108" spans="2:6" ht="14.5" customHeight="1" x14ac:dyDescent="0.35">
      <c r="B108" s="131" t="s">
        <v>362</v>
      </c>
      <c r="C108" s="131"/>
      <c r="E108" s="99" t="s">
        <v>70</v>
      </c>
      <c r="F108" s="28">
        <v>4</v>
      </c>
    </row>
    <row r="109" spans="2:6" ht="14.5" customHeight="1" x14ac:dyDescent="0.35">
      <c r="F109" s="17"/>
    </row>
    <row r="110" spans="2:6" ht="14.5" customHeight="1" x14ac:dyDescent="0.35">
      <c r="B110" s="131" t="s">
        <v>364</v>
      </c>
      <c r="C110" s="131"/>
      <c r="D110" s="59" t="s">
        <v>338</v>
      </c>
      <c r="E110" s="59" t="s">
        <v>98</v>
      </c>
      <c r="F110" s="24">
        <f>F107*F108</f>
        <v>961.85303897724009</v>
      </c>
    </row>
    <row r="111" spans="2:6" ht="14.5" customHeight="1" x14ac:dyDescent="0.35">
      <c r="B111" s="131" t="s">
        <v>132</v>
      </c>
      <c r="C111" s="131"/>
      <c r="D111" s="59" t="s">
        <v>133</v>
      </c>
      <c r="E111" s="59" t="s">
        <v>134</v>
      </c>
      <c r="F111" s="25">
        <v>2.6</v>
      </c>
    </row>
    <row r="112" spans="2:6" ht="14.5" customHeight="1" x14ac:dyDescent="0.35">
      <c r="B112" s="131" t="s">
        <v>129</v>
      </c>
      <c r="C112" s="131"/>
      <c r="D112" s="59" t="s">
        <v>130</v>
      </c>
      <c r="E112" s="59" t="s">
        <v>131</v>
      </c>
      <c r="F112" s="24">
        <f>F110*F111</f>
        <v>2500.8179013408244</v>
      </c>
    </row>
    <row r="113" spans="2:6" s="97" customFormat="1" ht="14.5" customHeight="1" x14ac:dyDescent="0.35">
      <c r="E113" s="97" t="s">
        <v>558</v>
      </c>
      <c r="F113" s="74">
        <f>F112/1000</f>
        <v>2.5008179013408243</v>
      </c>
    </row>
    <row r="115" spans="2:6" s="97" customFormat="1" ht="14.5" customHeight="1" x14ac:dyDescent="0.35">
      <c r="B115" s="125" t="s">
        <v>517</v>
      </c>
      <c r="C115" s="125"/>
      <c r="D115" s="125"/>
      <c r="E115" s="125"/>
      <c r="F115" s="125"/>
    </row>
    <row r="116" spans="2:6" s="97" customFormat="1" ht="14.5" customHeight="1" x14ac:dyDescent="0.35"/>
    <row r="117" spans="2:6" s="97" customFormat="1" ht="14.5" customHeight="1" x14ac:dyDescent="0.35">
      <c r="B117" s="131" t="s">
        <v>507</v>
      </c>
      <c r="C117" s="131"/>
      <c r="D117" s="59"/>
      <c r="E117" s="59" t="s">
        <v>450</v>
      </c>
      <c r="F117" s="24">
        <f>F60/F57*F55</f>
        <v>0.53333333333333333</v>
      </c>
    </row>
    <row r="118" spans="2:6" s="97" customFormat="1" ht="14.5" customHeight="1" x14ac:dyDescent="0.35">
      <c r="B118" s="131" t="s">
        <v>97</v>
      </c>
      <c r="C118" s="131"/>
      <c r="D118" s="59" t="s">
        <v>338</v>
      </c>
      <c r="E118" s="59" t="s">
        <v>98</v>
      </c>
      <c r="F118" s="24">
        <f>F117*F58</f>
        <v>1.0666666666666667</v>
      </c>
    </row>
    <row r="119" spans="2:6" s="97" customFormat="1" ht="14.5" customHeight="1" x14ac:dyDescent="0.35">
      <c r="B119" s="131" t="s">
        <v>132</v>
      </c>
      <c r="C119" s="131"/>
      <c r="D119" s="59" t="s">
        <v>133</v>
      </c>
      <c r="E119" s="59" t="s">
        <v>134</v>
      </c>
      <c r="F119" s="25">
        <v>2.6</v>
      </c>
    </row>
    <row r="120" spans="2:6" s="97" customFormat="1" ht="14.5" customHeight="1" x14ac:dyDescent="0.35">
      <c r="B120" s="131" t="s">
        <v>129</v>
      </c>
      <c r="C120" s="131"/>
      <c r="D120" s="59" t="s">
        <v>130</v>
      </c>
      <c r="E120" s="59" t="s">
        <v>131</v>
      </c>
      <c r="F120" s="24">
        <f>F118*F119</f>
        <v>2.7733333333333334</v>
      </c>
    </row>
    <row r="121" spans="2:6" s="97" customFormat="1" ht="14.5" customHeight="1" x14ac:dyDescent="0.35">
      <c r="E121" s="97" t="s">
        <v>558</v>
      </c>
      <c r="F121" s="74">
        <f>F120/1000</f>
        <v>2.7733333333333334E-3</v>
      </c>
    </row>
    <row r="122" spans="2:6" s="97" customFormat="1" ht="14.5" customHeight="1" x14ac:dyDescent="0.35"/>
    <row r="123" spans="2:6" s="97" customFormat="1" ht="14.5" customHeight="1" x14ac:dyDescent="0.35">
      <c r="B123" s="125" t="s">
        <v>407</v>
      </c>
      <c r="C123" s="125"/>
      <c r="D123" s="125"/>
      <c r="E123" s="125"/>
      <c r="F123" s="125"/>
    </row>
    <row r="124" spans="2:6" s="97" customFormat="1" ht="14.5" customHeight="1" x14ac:dyDescent="0.35"/>
    <row r="125" spans="2:6" ht="14.5" customHeight="1" x14ac:dyDescent="0.35">
      <c r="B125" s="131" t="s">
        <v>412</v>
      </c>
      <c r="C125" s="131"/>
      <c r="D125" s="62"/>
      <c r="E125" s="99" t="s">
        <v>70</v>
      </c>
      <c r="F125" s="17">
        <f>F64*F66/($F$64*$F$66+$F$72*$F$74+$F$80*$F$82)</f>
        <v>0.2</v>
      </c>
    </row>
    <row r="126" spans="2:6" ht="14.5" customHeight="1" x14ac:dyDescent="0.35">
      <c r="B126" s="131" t="s">
        <v>413</v>
      </c>
      <c r="C126" s="131"/>
      <c r="D126" s="62"/>
      <c r="E126" s="99" t="s">
        <v>70</v>
      </c>
      <c r="F126" s="17">
        <f>F72*F74/($F$64*$F$66+$F$72*$F$74+$F$80*$F$82)</f>
        <v>0.33333333333333331</v>
      </c>
    </row>
    <row r="127" spans="2:6" ht="14.5" customHeight="1" x14ac:dyDescent="0.35">
      <c r="B127" s="131" t="s">
        <v>414</v>
      </c>
      <c r="C127" s="131"/>
      <c r="D127" s="62"/>
      <c r="E127" s="99" t="s">
        <v>70</v>
      </c>
      <c r="F127" s="17">
        <f>F80*F82/($F$64*$F$66+$F$72*$F$74+$F$80*$F$82)</f>
        <v>0.46666666666666667</v>
      </c>
    </row>
    <row r="128" spans="2:6" ht="14.5" customHeight="1" x14ac:dyDescent="0.35">
      <c r="D128" s="62"/>
    </row>
    <row r="129" spans="2:6" ht="14.5" customHeight="1" x14ac:dyDescent="0.35">
      <c r="B129" s="131" t="s">
        <v>176</v>
      </c>
      <c r="C129" s="131"/>
      <c r="D129" s="62"/>
      <c r="E129" s="59" t="s">
        <v>99</v>
      </c>
      <c r="F129" s="24">
        <f>F125*$F$18</f>
        <v>320</v>
      </c>
    </row>
    <row r="130" spans="2:6" ht="14.5" customHeight="1" x14ac:dyDescent="0.35">
      <c r="B130" s="131" t="s">
        <v>177</v>
      </c>
      <c r="C130" s="131"/>
      <c r="D130" s="62"/>
      <c r="E130" s="59" t="s">
        <v>99</v>
      </c>
      <c r="F130" s="24">
        <f>F126*$F$18</f>
        <v>533.33333333333326</v>
      </c>
    </row>
    <row r="131" spans="2:6" ht="14.5" customHeight="1" x14ac:dyDescent="0.35">
      <c r="B131" s="131" t="s">
        <v>178</v>
      </c>
      <c r="C131" s="131"/>
      <c r="D131" s="62"/>
      <c r="E131" s="59" t="s">
        <v>99</v>
      </c>
      <c r="F131" s="24">
        <f>F127*$F$18</f>
        <v>746.66666666666663</v>
      </c>
    </row>
    <row r="132" spans="2:6" ht="14.5" customHeight="1" x14ac:dyDescent="0.35">
      <c r="D132" s="62"/>
    </row>
    <row r="133" spans="2:6" ht="14.5" customHeight="1" x14ac:dyDescent="0.35">
      <c r="B133" s="131" t="s">
        <v>179</v>
      </c>
      <c r="C133" s="131"/>
      <c r="D133" s="62" t="s">
        <v>182</v>
      </c>
      <c r="E133" s="59" t="s">
        <v>98</v>
      </c>
      <c r="F133" s="24">
        <f>F70*F129</f>
        <v>108.79999999999998</v>
      </c>
    </row>
    <row r="134" spans="2:6" ht="14.5" customHeight="1" x14ac:dyDescent="0.35">
      <c r="B134" s="131" t="s">
        <v>180</v>
      </c>
      <c r="C134" s="131"/>
      <c r="D134" s="62" t="s">
        <v>183</v>
      </c>
      <c r="E134" s="59" t="s">
        <v>98</v>
      </c>
      <c r="F134" s="24">
        <f>F78*F130</f>
        <v>181.33333333333331</v>
      </c>
    </row>
    <row r="135" spans="2:6" ht="14.5" customHeight="1" x14ac:dyDescent="0.35">
      <c r="B135" s="131" t="s">
        <v>181</v>
      </c>
      <c r="C135" s="131"/>
      <c r="D135" s="62" t="s">
        <v>184</v>
      </c>
      <c r="E135" s="59" t="s">
        <v>98</v>
      </c>
      <c r="F135" s="24">
        <f>F86*F131</f>
        <v>253.86666666666662</v>
      </c>
    </row>
    <row r="136" spans="2:6" ht="14.5" customHeight="1" x14ac:dyDescent="0.35">
      <c r="D136" s="62"/>
    </row>
    <row r="137" spans="2:6" ht="14.5" customHeight="1" x14ac:dyDescent="0.35">
      <c r="B137" s="131" t="s">
        <v>185</v>
      </c>
      <c r="C137" s="131"/>
      <c r="D137" s="62" t="s">
        <v>254</v>
      </c>
      <c r="E137" s="59" t="s">
        <v>98</v>
      </c>
      <c r="F137" s="24">
        <f>SUM(F133:F135)</f>
        <v>544</v>
      </c>
    </row>
    <row r="138" spans="2:6" ht="14.5" customHeight="1" x14ac:dyDescent="0.35">
      <c r="B138" s="131" t="s">
        <v>132</v>
      </c>
      <c r="C138" s="131"/>
      <c r="D138" s="62" t="s">
        <v>133</v>
      </c>
      <c r="E138" s="59" t="s">
        <v>134</v>
      </c>
      <c r="F138" s="25">
        <v>2.6</v>
      </c>
    </row>
    <row r="139" spans="2:6" ht="14.5" customHeight="1" x14ac:dyDescent="0.35">
      <c r="B139" s="131" t="s">
        <v>129</v>
      </c>
      <c r="C139" s="131"/>
      <c r="D139" s="62" t="s">
        <v>130</v>
      </c>
      <c r="E139" s="59" t="s">
        <v>131</v>
      </c>
      <c r="F139" s="24">
        <f>F137*F138</f>
        <v>1414.4</v>
      </c>
    </row>
    <row r="140" spans="2:6" s="97" customFormat="1" ht="14.5" customHeight="1" x14ac:dyDescent="0.35">
      <c r="B140" s="131" t="s">
        <v>618</v>
      </c>
      <c r="C140" s="131"/>
      <c r="D140" s="98" t="s">
        <v>130</v>
      </c>
      <c r="E140" s="97" t="s">
        <v>131</v>
      </c>
      <c r="F140" s="24">
        <f>F139*2</f>
        <v>2828.8</v>
      </c>
    </row>
    <row r="141" spans="2:6" s="97" customFormat="1" ht="14.5" customHeight="1" x14ac:dyDescent="0.35">
      <c r="E141" s="97" t="s">
        <v>558</v>
      </c>
      <c r="F141" s="74">
        <f>F139/1000</f>
        <v>1.4144000000000001</v>
      </c>
    </row>
    <row r="143" spans="2:6" ht="14.5" customHeight="1" x14ac:dyDescent="0.35">
      <c r="B143" s="125" t="s">
        <v>557</v>
      </c>
      <c r="C143" s="125"/>
      <c r="D143" s="125"/>
      <c r="E143" s="125"/>
      <c r="F143" s="125"/>
    </row>
    <row r="144" spans="2:6" ht="14.5" customHeight="1" x14ac:dyDescent="0.35">
      <c r="B144" s="97"/>
      <c r="C144" s="97"/>
      <c r="D144" s="97"/>
      <c r="E144" s="97"/>
      <c r="F144" s="97"/>
    </row>
    <row r="145" spans="2:6" ht="14.5" customHeight="1" x14ac:dyDescent="0.35">
      <c r="B145" s="131" t="s">
        <v>129</v>
      </c>
      <c r="C145" s="131"/>
      <c r="D145" s="98" t="s">
        <v>130</v>
      </c>
      <c r="E145" s="97" t="s">
        <v>131</v>
      </c>
      <c r="F145" s="24">
        <f>$F$8*(F92+F102+F112+F120+F140)</f>
        <v>16918.861554142608</v>
      </c>
    </row>
    <row r="146" spans="2:6" ht="14.5" customHeight="1" x14ac:dyDescent="0.35">
      <c r="B146" s="97"/>
      <c r="C146" s="97"/>
      <c r="D146" s="97"/>
      <c r="E146" s="97" t="s">
        <v>558</v>
      </c>
      <c r="F146" s="75">
        <f>F145/1000</f>
        <v>16.918861554142609</v>
      </c>
    </row>
  </sheetData>
  <mergeCells count="129">
    <mergeCell ref="G46:H46"/>
    <mergeCell ref="G45:I45"/>
    <mergeCell ref="G44:H44"/>
    <mergeCell ref="G43:H43"/>
    <mergeCell ref="G35:H35"/>
    <mergeCell ref="G14:H14"/>
    <mergeCell ref="B105:F105"/>
    <mergeCell ref="B115:F115"/>
    <mergeCell ref="B16:C16"/>
    <mergeCell ref="B18:C18"/>
    <mergeCell ref="B27:F27"/>
    <mergeCell ref="B29:C29"/>
    <mergeCell ref="B30:C30"/>
    <mergeCell ref="B25:C25"/>
    <mergeCell ref="B22:C22"/>
    <mergeCell ref="B23:C23"/>
    <mergeCell ref="B24:C24"/>
    <mergeCell ref="B40:F40"/>
    <mergeCell ref="B42:C42"/>
    <mergeCell ref="B43:C43"/>
    <mergeCell ref="B44:C44"/>
    <mergeCell ref="B34:C34"/>
    <mergeCell ref="B35:C35"/>
    <mergeCell ref="B36:C36"/>
    <mergeCell ref="B143:F143"/>
    <mergeCell ref="B145:C145"/>
    <mergeCell ref="B90:C90"/>
    <mergeCell ref="B91:C91"/>
    <mergeCell ref="B92:C92"/>
    <mergeCell ref="G83:H83"/>
    <mergeCell ref="B2:F2"/>
    <mergeCell ref="B4:C4"/>
    <mergeCell ref="B10:F10"/>
    <mergeCell ref="B12:C12"/>
    <mergeCell ref="B13:C13"/>
    <mergeCell ref="B14:C14"/>
    <mergeCell ref="B6:F6"/>
    <mergeCell ref="B8:C8"/>
    <mergeCell ref="B20:F20"/>
    <mergeCell ref="G30:H30"/>
    <mergeCell ref="B31:C31"/>
    <mergeCell ref="G31:H31"/>
    <mergeCell ref="B32:C32"/>
    <mergeCell ref="G32:I32"/>
    <mergeCell ref="B33:C33"/>
    <mergeCell ref="G33:H33"/>
    <mergeCell ref="B15:C15"/>
    <mergeCell ref="G48:H48"/>
    <mergeCell ref="B37:C37"/>
    <mergeCell ref="B38:C38"/>
    <mergeCell ref="B49:C49"/>
    <mergeCell ref="B50:C50"/>
    <mergeCell ref="B51:C51"/>
    <mergeCell ref="B62:F62"/>
    <mergeCell ref="B64:C64"/>
    <mergeCell ref="B45:C45"/>
    <mergeCell ref="B46:C46"/>
    <mergeCell ref="B47:C47"/>
    <mergeCell ref="B48:C48"/>
    <mergeCell ref="B53:F53"/>
    <mergeCell ref="B55:C55"/>
    <mergeCell ref="G55:H55"/>
    <mergeCell ref="B56:C56"/>
    <mergeCell ref="B95:F95"/>
    <mergeCell ref="G82:H82"/>
    <mergeCell ref="G80:H80"/>
    <mergeCell ref="G75:H75"/>
    <mergeCell ref="G74:H74"/>
    <mergeCell ref="G72:H72"/>
    <mergeCell ref="G67:H67"/>
    <mergeCell ref="G66:H66"/>
    <mergeCell ref="G64:H64"/>
    <mergeCell ref="B81:C81"/>
    <mergeCell ref="B82:C82"/>
    <mergeCell ref="B83:C83"/>
    <mergeCell ref="B84:C84"/>
    <mergeCell ref="B75:C75"/>
    <mergeCell ref="B76:C76"/>
    <mergeCell ref="B77:C77"/>
    <mergeCell ref="B78:C78"/>
    <mergeCell ref="B80:C80"/>
    <mergeCell ref="B69:C69"/>
    <mergeCell ref="B70:C70"/>
    <mergeCell ref="B107:C107"/>
    <mergeCell ref="B108:C108"/>
    <mergeCell ref="B110:C110"/>
    <mergeCell ref="B111:C111"/>
    <mergeCell ref="B112:C112"/>
    <mergeCell ref="B125:C125"/>
    <mergeCell ref="G58:H58"/>
    <mergeCell ref="B59:C59"/>
    <mergeCell ref="B60:C60"/>
    <mergeCell ref="B88:F88"/>
    <mergeCell ref="B97:C97"/>
    <mergeCell ref="B98:C98"/>
    <mergeCell ref="B85:C85"/>
    <mergeCell ref="B86:C86"/>
    <mergeCell ref="B72:C72"/>
    <mergeCell ref="B73:C73"/>
    <mergeCell ref="B74:C74"/>
    <mergeCell ref="B65:C65"/>
    <mergeCell ref="B66:C66"/>
    <mergeCell ref="B67:C67"/>
    <mergeCell ref="B68:C68"/>
    <mergeCell ref="B123:F123"/>
    <mergeCell ref="G23:H23"/>
    <mergeCell ref="G24:H24"/>
    <mergeCell ref="B117:C117"/>
    <mergeCell ref="B118:C118"/>
    <mergeCell ref="B119:C119"/>
    <mergeCell ref="B140:C140"/>
    <mergeCell ref="B137:C137"/>
    <mergeCell ref="B138:C138"/>
    <mergeCell ref="B139:C139"/>
    <mergeCell ref="B100:C100"/>
    <mergeCell ref="B101:C101"/>
    <mergeCell ref="B102:C102"/>
    <mergeCell ref="B120:C120"/>
    <mergeCell ref="B57:C57"/>
    <mergeCell ref="G57:H57"/>
    <mergeCell ref="B58:C58"/>
    <mergeCell ref="B134:C134"/>
    <mergeCell ref="B135:C135"/>
    <mergeCell ref="B126:C126"/>
    <mergeCell ref="B127:C127"/>
    <mergeCell ref="B129:C129"/>
    <mergeCell ref="B130:C130"/>
    <mergeCell ref="B131:C131"/>
    <mergeCell ref="B133:C13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EDEBC28C-9665-4F63-8423-3F56575022C6}">
          <x14:formula1>
            <xm:f>prms!$AF$5</xm:f>
          </x14:formula1>
          <xm:sqref>F56</xm:sqref>
        </x14:dataValidation>
        <x14:dataValidation type="list" allowBlank="1" showInputMessage="1" showErrorMessage="1" xr:uid="{1642E8DD-ADF3-4891-A849-94F05F6F2E64}">
          <x14:formula1>
            <xm:f>prms!$B$5:$B$29</xm:f>
          </x14:formula1>
          <xm:sqref>F14</xm:sqref>
        </x14:dataValidation>
        <x14:dataValidation type="list" allowBlank="1" showInputMessage="1" showErrorMessage="1" xr:uid="{767BC59F-A1F6-4B43-B346-B24564A9A802}">
          <x14:formula1>
            <xm:f>prms!$V$5:$V$7</xm:f>
          </x14:formula1>
          <xm:sqref>F29</xm:sqref>
        </x14:dataValidation>
        <x14:dataValidation type="list" allowBlank="1" showInputMessage="1" showErrorMessage="1" xr:uid="{85AA246A-D8BB-42A3-89CB-4F0A35A1CB1D}">
          <x14:formula1>
            <xm:f>prms!$Q$5:$Q$10</xm:f>
          </x14:formula1>
          <xm:sqref>F42</xm:sqref>
        </x14:dataValidation>
        <x14:dataValidation type="list" allowBlank="1" showInputMessage="1" showErrorMessage="1" xr:uid="{2AB01206-535E-4787-A7A5-E0CF8F306B16}">
          <x14:formula1>
            <xm:f>prms!$AA$5:$AA$9</xm:f>
          </x14:formula1>
          <xm:sqref>F65 F73 F81</xm:sqref>
        </x14:dataValidation>
        <x14:dataValidation type="list" allowBlank="1" showInputMessage="1" showErrorMessage="1" xr:uid="{FB5FBFA0-4311-4ACA-A75F-B70DF2A8CAC3}">
          <x14:formula1>
            <xm:f>prms!$AN$5</xm:f>
          </x14:formula1>
          <xm:sqref>F22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8F52A-722D-4816-ADE3-888C8D869E1A}">
  <dimension ref="B2:K22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37"/>
    <col min="2" max="3" width="15.6328125" style="37" customWidth="1"/>
    <col min="4" max="4" width="12.6328125" style="37" customWidth="1"/>
    <col min="5" max="5" width="12.6328125" style="37"/>
    <col min="6" max="6" width="20.6328125" style="37" customWidth="1"/>
    <col min="7" max="9" width="12.6328125" style="37" customWidth="1"/>
    <col min="10" max="16384" width="12.6328125" style="37"/>
  </cols>
  <sheetData>
    <row r="2" spans="2:11" x14ac:dyDescent="0.35">
      <c r="B2" s="137" t="s">
        <v>30</v>
      </c>
      <c r="C2" s="138"/>
      <c r="D2" s="138"/>
      <c r="E2" s="138"/>
      <c r="F2" s="139"/>
    </row>
    <row r="3" spans="2:11" ht="14.5" customHeight="1" x14ac:dyDescent="0.35">
      <c r="B3" s="8"/>
      <c r="C3" s="8"/>
      <c r="D3" s="8"/>
      <c r="E3" s="8"/>
      <c r="F3" s="8"/>
    </row>
    <row r="4" spans="2:11" ht="14.5" customHeight="1" x14ac:dyDescent="0.35">
      <c r="B4" s="131" t="s">
        <v>1</v>
      </c>
      <c r="C4" s="131"/>
      <c r="D4" s="12"/>
      <c r="E4" s="40" t="s">
        <v>0</v>
      </c>
      <c r="F4" s="40">
        <v>1000</v>
      </c>
    </row>
    <row r="5" spans="2:11" s="40" customFormat="1" ht="14.5" customHeight="1" x14ac:dyDescent="0.35">
      <c r="B5" s="134" t="s">
        <v>438</v>
      </c>
      <c r="C5" s="134"/>
      <c r="D5" s="43" t="s">
        <v>426</v>
      </c>
      <c r="E5" s="42" t="s">
        <v>425</v>
      </c>
      <c r="F5" s="29">
        <v>50</v>
      </c>
    </row>
    <row r="7" spans="2:11" ht="14.5" customHeight="1" x14ac:dyDescent="0.35">
      <c r="B7" s="133" t="s">
        <v>628</v>
      </c>
      <c r="C7" s="133"/>
      <c r="D7" s="133"/>
      <c r="E7" s="133"/>
      <c r="F7" s="133"/>
    </row>
    <row r="8" spans="2:11" ht="14.5" customHeight="1" x14ac:dyDescent="0.35">
      <c r="B8" s="8"/>
      <c r="C8" s="8"/>
      <c r="D8" s="8"/>
      <c r="E8" s="8"/>
      <c r="F8" s="8"/>
    </row>
    <row r="9" spans="2:11" ht="14.5" customHeight="1" x14ac:dyDescent="0.35">
      <c r="B9" s="131" t="s">
        <v>428</v>
      </c>
      <c r="C9" s="131"/>
      <c r="D9" s="12"/>
      <c r="E9" s="37" t="s">
        <v>0</v>
      </c>
      <c r="F9" s="3">
        <v>16</v>
      </c>
    </row>
    <row r="10" spans="2:11" ht="14.5" customHeight="1" x14ac:dyDescent="0.35">
      <c r="B10" s="135" t="s">
        <v>429</v>
      </c>
      <c r="C10" s="135"/>
      <c r="D10" s="7"/>
      <c r="E10" s="38" t="s">
        <v>70</v>
      </c>
      <c r="F10" s="3" t="s">
        <v>370</v>
      </c>
      <c r="G10" s="132" t="s">
        <v>464</v>
      </c>
      <c r="H10" s="132"/>
    </row>
    <row r="11" spans="2:11" ht="14.5" customHeight="1" x14ac:dyDescent="0.35">
      <c r="B11" s="134" t="s">
        <v>419</v>
      </c>
      <c r="C11" s="134"/>
      <c r="D11" s="38" t="s">
        <v>420</v>
      </c>
      <c r="E11" s="39" t="s">
        <v>421</v>
      </c>
      <c r="F11" s="37">
        <f>F4*F9</f>
        <v>16000</v>
      </c>
    </row>
    <row r="12" spans="2:11" ht="14.5" customHeight="1" x14ac:dyDescent="0.35">
      <c r="B12" s="39"/>
      <c r="C12" s="39"/>
      <c r="D12" s="38"/>
      <c r="E12" s="39"/>
    </row>
    <row r="13" spans="2:11" ht="14.5" customHeight="1" x14ac:dyDescent="0.35">
      <c r="B13" s="134" t="s">
        <v>620</v>
      </c>
      <c r="C13" s="134"/>
      <c r="D13" s="100" t="s">
        <v>622</v>
      </c>
      <c r="E13" s="39" t="s">
        <v>70</v>
      </c>
      <c r="F13" s="25">
        <v>0.15</v>
      </c>
    </row>
    <row r="14" spans="2:11" s="97" customFormat="1" ht="14.5" customHeight="1" x14ac:dyDescent="0.35">
      <c r="B14" s="134" t="s">
        <v>621</v>
      </c>
      <c r="C14" s="134"/>
      <c r="D14" s="100" t="s">
        <v>623</v>
      </c>
      <c r="E14" s="98" t="s">
        <v>70</v>
      </c>
      <c r="F14" s="25">
        <v>0.36</v>
      </c>
    </row>
    <row r="15" spans="2:11" s="97" customFormat="1" ht="14.5" customHeight="1" x14ac:dyDescent="0.35">
      <c r="B15" s="134" t="s">
        <v>624</v>
      </c>
      <c r="C15" s="134"/>
      <c r="D15" s="100" t="s">
        <v>619</v>
      </c>
      <c r="E15" s="98" t="s">
        <v>70</v>
      </c>
      <c r="F15" s="30">
        <f>F14-F13</f>
        <v>0.21</v>
      </c>
      <c r="G15" s="132" t="s">
        <v>626</v>
      </c>
      <c r="H15" s="132"/>
      <c r="I15" s="132"/>
      <c r="J15" s="132"/>
      <c r="K15" s="132"/>
    </row>
    <row r="16" spans="2:11" s="97" customFormat="1" ht="14.5" customHeight="1" x14ac:dyDescent="0.35">
      <c r="B16" s="134" t="s">
        <v>627</v>
      </c>
      <c r="C16" s="134"/>
      <c r="D16" s="100" t="s">
        <v>625</v>
      </c>
      <c r="E16" s="98" t="s">
        <v>70</v>
      </c>
      <c r="F16" s="25">
        <v>1.54</v>
      </c>
      <c r="G16" s="32"/>
      <c r="H16" s="32"/>
      <c r="I16" s="32"/>
      <c r="J16" s="32"/>
      <c r="K16" s="32"/>
    </row>
    <row r="17" spans="2:6" ht="14.5" customHeight="1" x14ac:dyDescent="0.35">
      <c r="B17" s="134" t="s">
        <v>423</v>
      </c>
      <c r="C17" s="134"/>
      <c r="D17" s="38" t="s">
        <v>424</v>
      </c>
      <c r="E17" s="39" t="s">
        <v>427</v>
      </c>
      <c r="F17" s="29">
        <f>F16*F15/0.01</f>
        <v>32.340000000000003</v>
      </c>
    </row>
    <row r="18" spans="2:6" ht="14.5" customHeight="1" x14ac:dyDescent="0.35">
      <c r="F18" s="16"/>
    </row>
    <row r="19" spans="2:6" ht="14.5" customHeight="1" x14ac:dyDescent="0.35">
      <c r="B19" s="140" t="s">
        <v>127</v>
      </c>
      <c r="C19" s="141"/>
      <c r="D19" s="141"/>
      <c r="E19" s="141"/>
      <c r="F19" s="142"/>
    </row>
    <row r="21" spans="2:6" ht="14.5" customHeight="1" x14ac:dyDescent="0.35">
      <c r="B21" s="131" t="s">
        <v>129</v>
      </c>
      <c r="C21" s="131"/>
      <c r="D21" s="37" t="s">
        <v>130</v>
      </c>
      <c r="E21" s="37" t="s">
        <v>131</v>
      </c>
      <c r="F21" s="24">
        <f>F15/0.01*1.087*F17*F5*F11/(0.217*F5 - 44.78*EXP((-F5)/172.9) - 6.26*EXP((-F5)/18.51) - 0.22*EXP((-F5)/1.186) +51.26 )</f>
        <v>20975854.076965481</v>
      </c>
    </row>
    <row r="22" spans="2:6" ht="14.5" customHeight="1" x14ac:dyDescent="0.35">
      <c r="E22" s="88" t="s">
        <v>558</v>
      </c>
      <c r="F22" s="113">
        <f>F21/1000</f>
        <v>20975.854076965483</v>
      </c>
    </row>
  </sheetData>
  <mergeCells count="16">
    <mergeCell ref="G15:K15"/>
    <mergeCell ref="B16:C16"/>
    <mergeCell ref="G10:H10"/>
    <mergeCell ref="B21:C21"/>
    <mergeCell ref="B2:F2"/>
    <mergeCell ref="B4:C4"/>
    <mergeCell ref="B5:C5"/>
    <mergeCell ref="B7:F7"/>
    <mergeCell ref="B10:C10"/>
    <mergeCell ref="B17:C17"/>
    <mergeCell ref="B19:F19"/>
    <mergeCell ref="B9:C9"/>
    <mergeCell ref="B13:C13"/>
    <mergeCell ref="B11:C11"/>
    <mergeCell ref="B14:C14"/>
    <mergeCell ref="B15:C1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562C3D1-9662-495A-8715-95EA271EEFDF}">
          <x14:formula1>
            <xm:f>prms!$B$5:$B$29</xm:f>
          </x14:formula1>
          <xm:sqref>F10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4638-CC20-4D90-BB5E-656C72BBA79C}">
  <dimension ref="B2:H22"/>
  <sheetViews>
    <sheetView zoomScale="55" zoomScaleNormal="55" workbookViewId="0"/>
  </sheetViews>
  <sheetFormatPr baseColWidth="10" defaultColWidth="12.6328125" defaultRowHeight="14.5" customHeight="1" x14ac:dyDescent="0.35"/>
  <cols>
    <col min="1" max="1" width="12.6328125" style="51"/>
    <col min="2" max="3" width="15.6328125" style="51" customWidth="1"/>
    <col min="4" max="4" width="12.6328125" style="51" customWidth="1"/>
    <col min="5" max="5" width="12.6328125" style="51"/>
    <col min="6" max="6" width="20.6328125" style="51" customWidth="1"/>
    <col min="7" max="16384" width="12.6328125" style="51"/>
  </cols>
  <sheetData>
    <row r="2" spans="2:8" ht="14.5" customHeight="1" x14ac:dyDescent="0.35">
      <c r="B2" s="137" t="s">
        <v>30</v>
      </c>
      <c r="C2" s="138"/>
      <c r="D2" s="138"/>
      <c r="E2" s="138"/>
      <c r="F2" s="139"/>
    </row>
    <row r="3" spans="2:8" ht="14.5" customHeight="1" x14ac:dyDescent="0.35">
      <c r="B3" s="8"/>
      <c r="C3" s="8"/>
      <c r="D3" s="8"/>
      <c r="E3" s="8"/>
      <c r="F3" s="8"/>
    </row>
    <row r="4" spans="2:8" ht="14.5" customHeight="1" x14ac:dyDescent="0.35">
      <c r="B4" s="131" t="s">
        <v>1</v>
      </c>
      <c r="C4" s="131"/>
      <c r="D4" s="12"/>
      <c r="E4" s="51" t="s">
        <v>0</v>
      </c>
      <c r="F4" s="51">
        <v>1000</v>
      </c>
    </row>
    <row r="5" spans="2:8" ht="14.5" customHeight="1" x14ac:dyDescent="0.35">
      <c r="B5" s="134" t="s">
        <v>438</v>
      </c>
      <c r="C5" s="134"/>
      <c r="D5" s="53" t="s">
        <v>426</v>
      </c>
      <c r="E5" s="52" t="s">
        <v>425</v>
      </c>
      <c r="F5" s="29">
        <v>50</v>
      </c>
    </row>
    <row r="6" spans="2:8" x14ac:dyDescent="0.35">
      <c r="D6" s="12"/>
    </row>
    <row r="7" spans="2:8" ht="14.5" customHeight="1" x14ac:dyDescent="0.35">
      <c r="B7" s="137" t="s">
        <v>448</v>
      </c>
      <c r="C7" s="138"/>
      <c r="D7" s="138"/>
      <c r="E7" s="138"/>
      <c r="F7" s="139"/>
    </row>
    <row r="8" spans="2:8" ht="14.5" customHeight="1" x14ac:dyDescent="0.35">
      <c r="B8" s="8"/>
      <c r="C8" s="8"/>
      <c r="D8" s="8"/>
      <c r="E8" s="8"/>
      <c r="F8" s="8"/>
    </row>
    <row r="9" spans="2:8" ht="14.5" customHeight="1" x14ac:dyDescent="0.35">
      <c r="B9" s="131" t="s">
        <v>451</v>
      </c>
      <c r="C9" s="131"/>
      <c r="D9" s="35"/>
      <c r="E9" s="53" t="s">
        <v>70</v>
      </c>
      <c r="F9" s="3" t="s">
        <v>449</v>
      </c>
    </row>
    <row r="10" spans="2:8" ht="14.5" customHeight="1" x14ac:dyDescent="0.35">
      <c r="B10" s="131" t="s">
        <v>459</v>
      </c>
      <c r="C10" s="131"/>
      <c r="D10" s="51" t="s">
        <v>130</v>
      </c>
      <c r="E10" s="51" t="s">
        <v>452</v>
      </c>
      <c r="F10" s="16">
        <f>IF('3 LGT'!F9=prms!AV5,prms!AX5,prms!AX6)</f>
        <v>4.0833333333333333E-2</v>
      </c>
    </row>
    <row r="11" spans="2:8" s="52" customFormat="1" ht="14.5" customHeight="1" x14ac:dyDescent="0.35">
      <c r="B11" s="143" t="s">
        <v>460</v>
      </c>
      <c r="C11" s="143"/>
      <c r="D11" s="51"/>
      <c r="E11" s="57" t="s">
        <v>450</v>
      </c>
      <c r="F11" s="33">
        <v>12</v>
      </c>
    </row>
    <row r="12" spans="2:8" s="52" customFormat="1" ht="14.5" customHeight="1" x14ac:dyDescent="0.35">
      <c r="B12" s="143" t="s">
        <v>461</v>
      </c>
      <c r="C12" s="143"/>
      <c r="D12" s="57"/>
      <c r="E12" s="57" t="s">
        <v>450</v>
      </c>
      <c r="F12" s="57">
        <f>365*F11*F5</f>
        <v>219000</v>
      </c>
    </row>
    <row r="13" spans="2:8" s="52" customFormat="1" ht="14.5" customHeight="1" x14ac:dyDescent="0.35">
      <c r="B13" s="57"/>
      <c r="C13" s="57"/>
      <c r="D13" s="57"/>
      <c r="E13" s="57"/>
      <c r="F13" s="57"/>
    </row>
    <row r="14" spans="2:8" s="52" customFormat="1" ht="14.5" customHeight="1" x14ac:dyDescent="0.35">
      <c r="B14" s="143" t="s">
        <v>455</v>
      </c>
      <c r="C14" s="143"/>
      <c r="D14" s="57"/>
      <c r="E14" s="57" t="s">
        <v>0</v>
      </c>
      <c r="F14" s="33">
        <v>50</v>
      </c>
    </row>
    <row r="15" spans="2:8" s="52" customFormat="1" ht="14.5" customHeight="1" x14ac:dyDescent="0.35">
      <c r="B15" s="143" t="s">
        <v>462</v>
      </c>
      <c r="C15" s="143"/>
      <c r="D15" s="57"/>
      <c r="E15" s="99" t="s">
        <v>70</v>
      </c>
      <c r="F15" s="57">
        <f>F4/F14</f>
        <v>20</v>
      </c>
    </row>
    <row r="16" spans="2:8" s="52" customFormat="1" ht="14.5" customHeight="1" x14ac:dyDescent="0.35">
      <c r="B16" s="143" t="s">
        <v>456</v>
      </c>
      <c r="C16" s="143"/>
      <c r="D16" s="57"/>
      <c r="E16" s="57" t="s">
        <v>70</v>
      </c>
      <c r="F16" s="33">
        <v>2</v>
      </c>
      <c r="G16" s="132" t="s">
        <v>457</v>
      </c>
      <c r="H16" s="132"/>
    </row>
    <row r="17" spans="2:6" s="52" customFormat="1" ht="14.5" customHeight="1" x14ac:dyDescent="0.35">
      <c r="B17" s="143" t="s">
        <v>463</v>
      </c>
      <c r="C17" s="143"/>
      <c r="D17" s="57"/>
      <c r="E17" s="99" t="s">
        <v>70</v>
      </c>
      <c r="F17" s="57">
        <f>F15*F16</f>
        <v>40</v>
      </c>
    </row>
    <row r="18" spans="2:6" s="52" customFormat="1" ht="14.5" customHeight="1" x14ac:dyDescent="0.35">
      <c r="B18" s="57"/>
      <c r="C18" s="57"/>
      <c r="D18" s="57"/>
      <c r="E18" s="57"/>
      <c r="F18" s="57"/>
    </row>
    <row r="19" spans="2:6" s="52" customFormat="1" ht="14.5" customHeight="1" x14ac:dyDescent="0.35">
      <c r="B19" s="125" t="s">
        <v>127</v>
      </c>
      <c r="C19" s="125"/>
      <c r="D19" s="125"/>
      <c r="E19" s="125"/>
      <c r="F19" s="125"/>
    </row>
    <row r="20" spans="2:6" s="52" customFormat="1" ht="14.5" customHeight="1" x14ac:dyDescent="0.35">
      <c r="B20" s="47"/>
      <c r="C20" s="47"/>
      <c r="D20" s="47"/>
      <c r="E20" s="47"/>
      <c r="F20" s="47"/>
    </row>
    <row r="21" spans="2:6" s="52" customFormat="1" ht="14.5" customHeight="1" x14ac:dyDescent="0.35">
      <c r="B21" s="131" t="s">
        <v>129</v>
      </c>
      <c r="C21" s="131"/>
      <c r="D21" s="51" t="s">
        <v>130</v>
      </c>
      <c r="E21" s="51" t="s">
        <v>131</v>
      </c>
      <c r="F21" s="24">
        <f>F12*F10*F17</f>
        <v>357700</v>
      </c>
    </row>
    <row r="22" spans="2:6" ht="14.5" customHeight="1" x14ac:dyDescent="0.35">
      <c r="E22" s="97" t="s">
        <v>558</v>
      </c>
      <c r="F22" s="113">
        <f>F21/1000</f>
        <v>357.7</v>
      </c>
    </row>
  </sheetData>
  <mergeCells count="15">
    <mergeCell ref="B19:F19"/>
    <mergeCell ref="B21:C21"/>
    <mergeCell ref="B11:C11"/>
    <mergeCell ref="B16:C16"/>
    <mergeCell ref="B17:C17"/>
    <mergeCell ref="B12:C12"/>
    <mergeCell ref="B14:C14"/>
    <mergeCell ref="B15:C15"/>
    <mergeCell ref="G16:H16"/>
    <mergeCell ref="B10:C10"/>
    <mergeCell ref="B2:F2"/>
    <mergeCell ref="B4:C4"/>
    <mergeCell ref="B5:C5"/>
    <mergeCell ref="B9:C9"/>
    <mergeCell ref="B7:F7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8B24E1-6C51-44EA-9DFC-1161A9205B67}">
          <x14:formula1>
            <xm:f>prms!$AV$5:$AV$6</xm:f>
          </x14:formula1>
          <xm:sqref>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54C3-FD90-44E4-870A-83616CF93E8F}">
  <dimension ref="B2:X61"/>
  <sheetViews>
    <sheetView zoomScale="40" zoomScaleNormal="40" workbookViewId="0"/>
  </sheetViews>
  <sheetFormatPr baseColWidth="10" defaultRowHeight="14.5" customHeight="1" x14ac:dyDescent="0.35"/>
  <cols>
    <col min="1" max="1" width="10.90625" style="83"/>
    <col min="2" max="3" width="13.1796875" style="83" customWidth="1"/>
    <col min="4" max="4" width="13.1796875" style="92" customWidth="1"/>
    <col min="5" max="7" width="18.1796875" style="84" customWidth="1"/>
    <col min="8" max="8" width="18.1796875" style="93" customWidth="1"/>
    <col min="9" max="9" width="13.1796875" style="93" customWidth="1"/>
    <col min="10" max="10" width="13.1796875" style="94" customWidth="1"/>
    <col min="11" max="11" width="13.1796875" style="85" customWidth="1"/>
    <col min="12" max="12" width="13.1796875" style="83" customWidth="1"/>
    <col min="13" max="23" width="13.1796875" style="92" customWidth="1"/>
    <col min="24" max="16384" width="10.90625" style="83"/>
  </cols>
  <sheetData>
    <row r="2" spans="2:24" s="92" customFormat="1" ht="14.5" customHeight="1" x14ac:dyDescent="0.35">
      <c r="E2" s="121" t="s">
        <v>593</v>
      </c>
      <c r="F2" s="121"/>
      <c r="G2" s="121"/>
      <c r="H2" s="121"/>
      <c r="I2" s="8"/>
      <c r="J2" s="121" t="s">
        <v>597</v>
      </c>
      <c r="K2" s="121"/>
      <c r="L2" s="121"/>
      <c r="M2" s="107"/>
      <c r="N2" s="121" t="s">
        <v>596</v>
      </c>
      <c r="O2" s="121"/>
      <c r="P2" s="121"/>
      <c r="Q2" s="8"/>
      <c r="R2" s="121" t="s">
        <v>598</v>
      </c>
      <c r="S2" s="121"/>
      <c r="T2" s="121"/>
      <c r="U2" s="8"/>
      <c r="V2" s="121" t="s">
        <v>599</v>
      </c>
      <c r="W2" s="121"/>
      <c r="X2" s="121"/>
    </row>
    <row r="3" spans="2:24" ht="14.5" customHeight="1" x14ac:dyDescent="0.35">
      <c r="B3" s="90" t="s">
        <v>438</v>
      </c>
      <c r="C3" s="82" t="s">
        <v>439</v>
      </c>
      <c r="D3" s="8"/>
      <c r="E3" s="90" t="s">
        <v>579</v>
      </c>
      <c r="F3" s="82" t="s">
        <v>580</v>
      </c>
      <c r="G3" s="90" t="s">
        <v>591</v>
      </c>
      <c r="H3" s="90" t="s">
        <v>592</v>
      </c>
      <c r="I3" s="8"/>
      <c r="J3" s="90" t="s">
        <v>595</v>
      </c>
      <c r="K3" s="90" t="s">
        <v>594</v>
      </c>
      <c r="L3" s="90" t="s">
        <v>594</v>
      </c>
      <c r="M3" s="8"/>
      <c r="N3" s="90" t="s">
        <v>595</v>
      </c>
      <c r="O3" s="90" t="s">
        <v>594</v>
      </c>
      <c r="P3" s="90" t="s">
        <v>594</v>
      </c>
      <c r="Q3" s="8"/>
      <c r="R3" s="90" t="s">
        <v>595</v>
      </c>
      <c r="S3" s="90" t="s">
        <v>594</v>
      </c>
      <c r="T3" s="90" t="s">
        <v>594</v>
      </c>
      <c r="U3" s="8"/>
      <c r="V3" s="90" t="s">
        <v>595</v>
      </c>
      <c r="W3" s="90" t="s">
        <v>594</v>
      </c>
      <c r="X3" s="90" t="s">
        <v>594</v>
      </c>
    </row>
    <row r="4" spans="2:24" ht="14.5" customHeight="1" x14ac:dyDescent="0.35">
      <c r="B4" s="90" t="s">
        <v>425</v>
      </c>
      <c r="C4" s="82" t="s">
        <v>433</v>
      </c>
      <c r="D4" s="112"/>
      <c r="E4" s="90" t="s">
        <v>70</v>
      </c>
      <c r="F4" s="82" t="s">
        <v>70</v>
      </c>
      <c r="G4" s="82" t="s">
        <v>70</v>
      </c>
      <c r="H4" s="90" t="s">
        <v>70</v>
      </c>
      <c r="I4" s="8"/>
      <c r="J4" s="82" t="s">
        <v>70</v>
      </c>
      <c r="K4" s="90" t="s">
        <v>440</v>
      </c>
      <c r="L4" s="90" t="s">
        <v>131</v>
      </c>
      <c r="M4" s="8"/>
      <c r="N4" s="90" t="s">
        <v>70</v>
      </c>
      <c r="O4" s="90" t="s">
        <v>440</v>
      </c>
      <c r="P4" s="90" t="s">
        <v>131</v>
      </c>
      <c r="Q4" s="8"/>
      <c r="R4" s="90" t="s">
        <v>70</v>
      </c>
      <c r="S4" s="90" t="s">
        <v>440</v>
      </c>
      <c r="T4" s="90" t="s">
        <v>131</v>
      </c>
      <c r="U4" s="8"/>
      <c r="V4" s="90" t="s">
        <v>70</v>
      </c>
      <c r="W4" s="90" t="s">
        <v>440</v>
      </c>
      <c r="X4" s="90" t="s">
        <v>131</v>
      </c>
    </row>
    <row r="5" spans="2:24" ht="14.5" customHeight="1" x14ac:dyDescent="0.35">
      <c r="B5" s="91">
        <v>1</v>
      </c>
      <c r="C5" s="104">
        <f>'3 ROLL'!$F$37</f>
        <v>2</v>
      </c>
      <c r="D5" s="105"/>
      <c r="E5" s="111">
        <f>'3 ROLL'!$F$11*'3 ROLL'!$F$9*( ((1+'3 ROLL'!$F$12)^roll!B5 - 1) /'3 ROLL'!$F$12)</f>
        <v>730000.0000000007</v>
      </c>
      <c r="F5" s="111">
        <f>'3 ROLL'!$F$14*'3 ROLL'!$F$9*( ((1+'3 ROLL'!$F$15)^roll!B5 - 1) /'3 ROLL'!$F$15)</f>
        <v>14600000.000000013</v>
      </c>
      <c r="G5" s="111">
        <f>'3 ROLL'!$F$17*'3 ROLL'!$F$9*( ((1+'3 ROLL'!$F$18)^roll!B5 - 1) /'3 ROLL'!$F$18)</f>
        <v>2190.0000000000018</v>
      </c>
      <c r="H5" s="111">
        <f>'3 ROLL'!$F$20*'3 ROLL'!$F$9*( ((1+'3 ROLL'!$F$21)^roll!B5 - 1) /'3 ROLL'!$F$21)</f>
        <v>1460.0000000000014</v>
      </c>
      <c r="I5" s="109"/>
      <c r="J5" s="48">
        <f t="shared" ref="J5:J36" si="0">IF(0.02163*C5+0.953&lt;=1,1,0.02163*C5+0.953)</f>
        <v>1</v>
      </c>
      <c r="K5" s="48">
        <f>'3 ROLL'!$F$24*'3 ROLL'!$F$48*roll!J5</f>
        <v>0.65</v>
      </c>
      <c r="L5" s="50">
        <f>E5*K5</f>
        <v>474500.00000000047</v>
      </c>
      <c r="M5" s="108"/>
      <c r="N5" s="48">
        <f>IF(0.07377*C5+0.993&lt;=1,1,0.07377*C5+0.993)</f>
        <v>1.1405400000000001</v>
      </c>
      <c r="O5" s="48">
        <f>'3 ROLL'!$F$27*'3 ROLL'!$F$49*roll!N5</f>
        <v>0.17792424000000001</v>
      </c>
      <c r="P5" s="50">
        <f>F5*O5</f>
        <v>2597693.9040000024</v>
      </c>
      <c r="Q5" s="106"/>
      <c r="R5" s="48">
        <f>IF(0.07377*C5+0.993&lt;=1,1,0.07377*C5+0.993)</f>
        <v>1.1405400000000001</v>
      </c>
      <c r="S5" s="48">
        <f>'3 ROLL'!$F$30*'3 ROLL'!$F$49*roll!R5</f>
        <v>0.11861616000000003</v>
      </c>
      <c r="T5" s="50">
        <f>G5*S5</f>
        <v>259.76939040000025</v>
      </c>
      <c r="U5" s="106"/>
      <c r="V5" s="48">
        <f>IF(0.07377*C5+0.993&lt;=1,1,0.07377*C5+0.993)</f>
        <v>1.1405400000000001</v>
      </c>
      <c r="W5" s="48">
        <f>'3 ROLL'!$F$33*'3 ROLL'!$F$50*roll!V5</f>
        <v>0</v>
      </c>
      <c r="X5" s="50">
        <f>H5*W5</f>
        <v>0</v>
      </c>
    </row>
    <row r="6" spans="2:24" ht="14.5" customHeight="1" x14ac:dyDescent="0.35">
      <c r="B6" s="91">
        <f t="shared" ref="B6:B54" si="1">B5+1</f>
        <v>2</v>
      </c>
      <c r="C6" s="49">
        <f>IF(B6&lt;='3 ROLL'!$F$41,'3 ROLL'!$F$37+B5*'3 ROLL'!$F$38,
IF(B6&lt;=2*'3 ROLL'!$F$41,'3 ROLL'!$F$37+ (B5-'3 ROLL'!$F$41) *'3 ROLL'!$F$38,
IF(B6&lt;=3*'3 ROLL'!$F$41,'3 ROLL'!$F$37+ (B5-2*'3 ROLL'!$F$41) *'3 ROLL'!$F$38,
IF(B6&lt;=4*'3 ROLL'!$F$41,'3 ROLL'!$F$37+ (B5-3*'3 ROLL'!$F$41) *'3 ROLL'!$F$38,
IF(B6&lt;=5*'3 ROLL'!$F$41,'3 ROLL'!$F$37+ (B5-4*'3 ROLL'!$F$41) *'3 ROLL'!$F$38,
IF(B6&lt;=6*'3 ROLL'!$F$41,'3 ROLL'!$F$37+ (B5-5*'3 ROLL'!$F$41) *'3 ROLL'!$F$38,
IF(B6&lt;=7*'3 ROLL'!$F$41,'3 ROLL'!$F$37+ (B5-6*'3 ROLL'!$F$41) *'3 ROLL'!$F$38,
IF(B6&lt;=8*'3 ROLL'!$F$41,'3 ROLL'!$F$37+ (B5-7*'3 ROLL'!$F$41) *'3 ROLL'!$F$38,
IF(B6&lt;=9*'3 ROLL'!$F$41,'3 ROLL'!$F$37+ (B5-8*'3 ROLL'!$F$41) *'3 ROLL'!$F$38,
IF(B6&lt;=10*'3 ROLL'!$F$41,'3 ROLL'!$F$37+ (B5-9*'3 ROLL'!$F$41) *'3 ROLL'!$F$38,
IF(B6&lt;=11*'3 ROLL'!$F$41,'3 ROLL'!$F$37+ (B5-10*'3 ROLL'!$F$41) *'3 ROLL'!$F$38,
IF(B6&lt;=12*'3 ROLL'!$F$41,'3 ROLL'!$F$37+ (B5-11*'3 ROLL'!$F$41) *'3 ROLL'!$F$38,
IF(B6&lt;=13*'3 ROLL'!$F$41,'3 ROLL'!$F$37+ (B5-12*'3 ROLL'!$F$41) *'3 ROLL'!$F$38,
IF(B6&lt;=14*'3 ROLL'!$F$41,'3 ROLL'!$F$37+ (B5-13*'3 ROLL'!$F$41) *'3 ROLL'!$F$38,
IF(B6&lt;=15*'3 ROLL'!$F$41,'3 ROLL'!$F$37+ (B5-14*'3 ROLL'!$F$41) *'3 ROLL'!$F$38,
IF(B6&lt;=16*'3 ROLL'!$F$41,'3 ROLL'!$F$37+ (B5-15*'3 ROLL'!$F$41) *'3 ROLL'!$F$38,
IF(B6&lt;=17*'3 ROLL'!$F$41,'3 ROLL'!$F$37+ (B5-16*'3 ROLL'!$F$41) *'3 ROLL'!$F$38,
IF(B6&lt;=18*'3 ROLL'!$F$41,'3 ROLL'!$F$37+ (B5-17*'3 ROLL'!$F$41) *'3 ROLL'!$F$38,
IF(B6&lt;=19*'3 ROLL'!$F$41,'3 ROLL'!$F$37+ (B5-18*'3 ROLL'!$F$41) *'3 ROLL'!$F$38,
IF(B6&lt;=20*'3 ROLL'!$F$41,'3 ROLL'!$F$37+ (B5-19*'3 ROLL'!$F$41) *'3 ROLL'!$F$38, ""
) ) ) ) ) ) ) ) ) ) ) ) ) ) ) ) ) ) ) )</f>
        <v>2.1</v>
      </c>
      <c r="D6" s="105"/>
      <c r="E6" s="111">
        <f>'3 ROLL'!$F$11*'3 ROLL'!$F$9*( ((1+'3 ROLL'!$F$12)^roll!B6 - 1) /'3 ROLL'!$F$12)</f>
        <v>1467300.0000000005</v>
      </c>
      <c r="F6" s="111">
        <f>'3 ROLL'!$F$14*'3 ROLL'!$F$9*( ((1+'3 ROLL'!$F$15)^roll!B6 - 1) /'3 ROLL'!$F$15)</f>
        <v>29346000.000000011</v>
      </c>
      <c r="G6" s="111">
        <f>'3 ROLL'!$F$17*'3 ROLL'!$F$9*( ((1+'3 ROLL'!$F$18)^roll!B6 - 1) /'3 ROLL'!$F$18)</f>
        <v>4401.9000000000015</v>
      </c>
      <c r="H6" s="111">
        <f>'3 ROLL'!$F$20*'3 ROLL'!$F$9*( ((1+'3 ROLL'!$F$21)^roll!B6 - 1) /'3 ROLL'!$F$21)</f>
        <v>2934.6000000000008</v>
      </c>
      <c r="I6" s="109"/>
      <c r="J6" s="48">
        <f t="shared" si="0"/>
        <v>1</v>
      </c>
      <c r="K6" s="48">
        <f>'3 ROLL'!$F$24*'3 ROLL'!$F$48*roll!J6</f>
        <v>0.65</v>
      </c>
      <c r="L6" s="50">
        <f t="shared" ref="L6:L54" si="2">E6*K6</f>
        <v>953745.00000000035</v>
      </c>
      <c r="M6" s="108"/>
      <c r="N6" s="48">
        <f t="shared" ref="N6:N54" si="3">IF(0.07377*C6+0.993&lt;=1,1,0.07377*C6+0.993)</f>
        <v>1.1479170000000001</v>
      </c>
      <c r="O6" s="48">
        <f>'3 ROLL'!$F$27*'3 ROLL'!$F$49*roll!N6</f>
        <v>0.17907505200000001</v>
      </c>
      <c r="P6" s="50">
        <f t="shared" ref="P6:P54" si="4">F6*O6</f>
        <v>5255136.4759920025</v>
      </c>
      <c r="Q6" s="106"/>
      <c r="R6" s="48">
        <f t="shared" ref="R6:R54" si="5">IF(0.07377*C6+0.993&lt;=1,1,0.07377*C6+0.993)</f>
        <v>1.1479170000000001</v>
      </c>
      <c r="S6" s="48">
        <f>'3 ROLL'!$F$30*'3 ROLL'!$F$49*roll!R6</f>
        <v>0.11938336800000002</v>
      </c>
      <c r="T6" s="50">
        <f t="shared" ref="T6:T54" si="6">G6*S6</f>
        <v>525.51364759920023</v>
      </c>
      <c r="U6" s="106"/>
      <c r="V6" s="48">
        <f t="shared" ref="V6:V54" si="7">IF(0.07377*C6+0.993&lt;=1,1,0.07377*C6+0.993)</f>
        <v>1.1479170000000001</v>
      </c>
      <c r="W6" s="48">
        <f>'3 ROLL'!$F$33*'3 ROLL'!$F$50*roll!V6</f>
        <v>0</v>
      </c>
      <c r="X6" s="50">
        <f t="shared" ref="X6:X54" si="8">H6*W6</f>
        <v>0</v>
      </c>
    </row>
    <row r="7" spans="2:24" ht="14.5" customHeight="1" x14ac:dyDescent="0.35">
      <c r="B7" s="91">
        <f t="shared" si="1"/>
        <v>3</v>
      </c>
      <c r="C7" s="49">
        <f>IF(B7&lt;='3 ROLL'!$F$41,'3 ROLL'!$F$37+B6*'3 ROLL'!$F$38,
IF(B7&lt;=2*'3 ROLL'!$F$41,'3 ROLL'!$F$37+ (B6-'3 ROLL'!$F$41) *'3 ROLL'!$F$38,
IF(B7&lt;=3*'3 ROLL'!$F$41,'3 ROLL'!$F$37+ (B6-2*'3 ROLL'!$F$41) *'3 ROLL'!$F$38,
IF(B7&lt;=4*'3 ROLL'!$F$41,'3 ROLL'!$F$37+ (B6-3*'3 ROLL'!$F$41) *'3 ROLL'!$F$38,
IF(B7&lt;=5*'3 ROLL'!$F$41,'3 ROLL'!$F$37+ (B6-4*'3 ROLL'!$F$41) *'3 ROLL'!$F$38,
IF(B7&lt;=6*'3 ROLL'!$F$41,'3 ROLL'!$F$37+ (B6-5*'3 ROLL'!$F$41) *'3 ROLL'!$F$38,
IF(B7&lt;=7*'3 ROLL'!$F$41,'3 ROLL'!$F$37+ (B6-6*'3 ROLL'!$F$41) *'3 ROLL'!$F$38,
IF(B7&lt;=8*'3 ROLL'!$F$41,'3 ROLL'!$F$37+ (B6-7*'3 ROLL'!$F$41) *'3 ROLL'!$F$38,
IF(B7&lt;=9*'3 ROLL'!$F$41,'3 ROLL'!$F$37+ (B6-8*'3 ROLL'!$F$41) *'3 ROLL'!$F$38,
IF(B7&lt;=10*'3 ROLL'!$F$41,'3 ROLL'!$F$37+ (B6-9*'3 ROLL'!$F$41) *'3 ROLL'!$F$38,
IF(B7&lt;=11*'3 ROLL'!$F$41,'3 ROLL'!$F$37+ (B6-10*'3 ROLL'!$F$41) *'3 ROLL'!$F$38,
IF(B7&lt;=12*'3 ROLL'!$F$41,'3 ROLL'!$F$37+ (B6-11*'3 ROLL'!$F$41) *'3 ROLL'!$F$38,
IF(B7&lt;=13*'3 ROLL'!$F$41,'3 ROLL'!$F$37+ (B6-12*'3 ROLL'!$F$41) *'3 ROLL'!$F$38,
IF(B7&lt;=14*'3 ROLL'!$F$41,'3 ROLL'!$F$37+ (B6-13*'3 ROLL'!$F$41) *'3 ROLL'!$F$38,
IF(B7&lt;=15*'3 ROLL'!$F$41,'3 ROLL'!$F$37+ (B6-14*'3 ROLL'!$F$41) *'3 ROLL'!$F$38,
IF(B7&lt;=16*'3 ROLL'!$F$41,'3 ROLL'!$F$37+ (B6-15*'3 ROLL'!$F$41) *'3 ROLL'!$F$38,
IF(B7&lt;=17*'3 ROLL'!$F$41,'3 ROLL'!$F$37+ (B6-16*'3 ROLL'!$F$41) *'3 ROLL'!$F$38,
IF(B7&lt;=18*'3 ROLL'!$F$41,'3 ROLL'!$F$37+ (B6-17*'3 ROLL'!$F$41) *'3 ROLL'!$F$38,
IF(B7&lt;=19*'3 ROLL'!$F$41,'3 ROLL'!$F$37+ (B6-18*'3 ROLL'!$F$41) *'3 ROLL'!$F$38,
IF(B7&lt;=20*'3 ROLL'!$F$41,'3 ROLL'!$F$37+ (B6-19*'3 ROLL'!$F$41) *'3 ROLL'!$F$38, ""
) ) ) ) ) ) ) ) ) ) ) ) ) ) ) ) ) ) ) )</f>
        <v>2.2000000000000002</v>
      </c>
      <c r="D7" s="105"/>
      <c r="E7" s="111">
        <f>'3 ROLL'!$F$11*'3 ROLL'!$F$9*( ((1+'3 ROLL'!$F$12)^roll!B7 - 1) /'3 ROLL'!$F$12)</f>
        <v>2211972.9999999935</v>
      </c>
      <c r="F7" s="111">
        <f>'3 ROLL'!$F$14*'3 ROLL'!$F$9*( ((1+'3 ROLL'!$F$15)^roll!B7 - 1) /'3 ROLL'!$F$15)</f>
        <v>44239459.999999873</v>
      </c>
      <c r="G7" s="111">
        <f>'3 ROLL'!$F$17*'3 ROLL'!$F$9*( ((1+'3 ROLL'!$F$18)^roll!B7 - 1) /'3 ROLL'!$F$18)</f>
        <v>6635.9189999999808</v>
      </c>
      <c r="H7" s="111">
        <f>'3 ROLL'!$F$20*'3 ROLL'!$F$9*( ((1+'3 ROLL'!$F$21)^roll!B7 - 1) /'3 ROLL'!$F$21)</f>
        <v>4423.9459999999872</v>
      </c>
      <c r="I7" s="109"/>
      <c r="J7" s="48">
        <f t="shared" si="0"/>
        <v>1.000586</v>
      </c>
      <c r="K7" s="48">
        <f>'3 ROLL'!$F$24*'3 ROLL'!$F$48*roll!J7</f>
        <v>0.65038090000000004</v>
      </c>
      <c r="L7" s="50">
        <f t="shared" si="2"/>
        <v>1438624.9905156959</v>
      </c>
      <c r="M7" s="108"/>
      <c r="N7" s="48">
        <f t="shared" si="3"/>
        <v>1.155294</v>
      </c>
      <c r="O7" s="48">
        <f>'3 ROLL'!$F$27*'3 ROLL'!$F$49*roll!N7</f>
        <v>0.18022586400000001</v>
      </c>
      <c r="P7" s="50">
        <f t="shared" si="4"/>
        <v>7973094.9013934182</v>
      </c>
      <c r="Q7" s="106"/>
      <c r="R7" s="48">
        <f t="shared" si="5"/>
        <v>1.155294</v>
      </c>
      <c r="S7" s="48">
        <f>'3 ROLL'!$F$30*'3 ROLL'!$F$49*roll!R7</f>
        <v>0.12015057600000001</v>
      </c>
      <c r="T7" s="50">
        <f t="shared" si="6"/>
        <v>797.30949013934173</v>
      </c>
      <c r="U7" s="106"/>
      <c r="V7" s="48">
        <f t="shared" si="7"/>
        <v>1.155294</v>
      </c>
      <c r="W7" s="48">
        <f>'3 ROLL'!$F$33*'3 ROLL'!$F$50*roll!V7</f>
        <v>0</v>
      </c>
      <c r="X7" s="50">
        <f t="shared" si="8"/>
        <v>0</v>
      </c>
    </row>
    <row r="8" spans="2:24" ht="14.5" customHeight="1" x14ac:dyDescent="0.35">
      <c r="B8" s="91">
        <f t="shared" si="1"/>
        <v>4</v>
      </c>
      <c r="C8" s="49">
        <f>IF(B8&lt;='3 ROLL'!$F$41,'3 ROLL'!$F$37+B7*'3 ROLL'!$F$38,
IF(B8&lt;=2*'3 ROLL'!$F$41,'3 ROLL'!$F$37+ (B7-'3 ROLL'!$F$41) *'3 ROLL'!$F$38,
IF(B8&lt;=3*'3 ROLL'!$F$41,'3 ROLL'!$F$37+ (B7-2*'3 ROLL'!$F$41) *'3 ROLL'!$F$38,
IF(B8&lt;=4*'3 ROLL'!$F$41,'3 ROLL'!$F$37+ (B7-3*'3 ROLL'!$F$41) *'3 ROLL'!$F$38,
IF(B8&lt;=5*'3 ROLL'!$F$41,'3 ROLL'!$F$37+ (B7-4*'3 ROLL'!$F$41) *'3 ROLL'!$F$38,
IF(B8&lt;=6*'3 ROLL'!$F$41,'3 ROLL'!$F$37+ (B7-5*'3 ROLL'!$F$41) *'3 ROLL'!$F$38,
IF(B8&lt;=7*'3 ROLL'!$F$41,'3 ROLL'!$F$37+ (B7-6*'3 ROLL'!$F$41) *'3 ROLL'!$F$38,
IF(B8&lt;=8*'3 ROLL'!$F$41,'3 ROLL'!$F$37+ (B7-7*'3 ROLL'!$F$41) *'3 ROLL'!$F$38,
IF(B8&lt;=9*'3 ROLL'!$F$41,'3 ROLL'!$F$37+ (B7-8*'3 ROLL'!$F$41) *'3 ROLL'!$F$38,
IF(B8&lt;=10*'3 ROLL'!$F$41,'3 ROLL'!$F$37+ (B7-9*'3 ROLL'!$F$41) *'3 ROLL'!$F$38,
IF(B8&lt;=11*'3 ROLL'!$F$41,'3 ROLL'!$F$37+ (B7-10*'3 ROLL'!$F$41) *'3 ROLL'!$F$38,
IF(B8&lt;=12*'3 ROLL'!$F$41,'3 ROLL'!$F$37+ (B7-11*'3 ROLL'!$F$41) *'3 ROLL'!$F$38,
IF(B8&lt;=13*'3 ROLL'!$F$41,'3 ROLL'!$F$37+ (B7-12*'3 ROLL'!$F$41) *'3 ROLL'!$F$38,
IF(B8&lt;=14*'3 ROLL'!$F$41,'3 ROLL'!$F$37+ (B7-13*'3 ROLL'!$F$41) *'3 ROLL'!$F$38,
IF(B8&lt;=15*'3 ROLL'!$F$41,'3 ROLL'!$F$37+ (B7-14*'3 ROLL'!$F$41) *'3 ROLL'!$F$38,
IF(B8&lt;=16*'3 ROLL'!$F$41,'3 ROLL'!$F$37+ (B7-15*'3 ROLL'!$F$41) *'3 ROLL'!$F$38,
IF(B8&lt;=17*'3 ROLL'!$F$41,'3 ROLL'!$F$37+ (B7-16*'3 ROLL'!$F$41) *'3 ROLL'!$F$38,
IF(B8&lt;=18*'3 ROLL'!$F$41,'3 ROLL'!$F$37+ (B7-17*'3 ROLL'!$F$41) *'3 ROLL'!$F$38,
IF(B8&lt;=19*'3 ROLL'!$F$41,'3 ROLL'!$F$37+ (B7-18*'3 ROLL'!$F$41) *'3 ROLL'!$F$38,
IF(B8&lt;=20*'3 ROLL'!$F$41,'3 ROLL'!$F$37+ (B7-19*'3 ROLL'!$F$41) *'3 ROLL'!$F$38, ""
) ) ) ) ) ) ) ) ) ) ) ) ) ) ) ) ) ) ) )</f>
        <v>2.2999999999999998</v>
      </c>
      <c r="D8" s="105"/>
      <c r="E8" s="111">
        <f>'3 ROLL'!$F$11*'3 ROLL'!$F$9*( ((1+'3 ROLL'!$F$12)^roll!B8 - 1) /'3 ROLL'!$F$12)</f>
        <v>2964092.7300000018</v>
      </c>
      <c r="F8" s="111">
        <f>'3 ROLL'!$F$14*'3 ROLL'!$F$9*( ((1+'3 ROLL'!$F$15)^roll!B8 - 1) /'3 ROLL'!$F$15)</f>
        <v>59281854.600000031</v>
      </c>
      <c r="G8" s="111">
        <f>'3 ROLL'!$F$17*'3 ROLL'!$F$9*( ((1+'3 ROLL'!$F$18)^roll!B8 - 1) /'3 ROLL'!$F$18)</f>
        <v>8892.2781900000045</v>
      </c>
      <c r="H8" s="111">
        <f>'3 ROLL'!$F$20*'3 ROLL'!$F$9*( ((1+'3 ROLL'!$F$21)^roll!B8 - 1) /'3 ROLL'!$F$21)</f>
        <v>5928.1854600000033</v>
      </c>
      <c r="I8" s="109"/>
      <c r="J8" s="48">
        <f t="shared" si="0"/>
        <v>1.0027489999999999</v>
      </c>
      <c r="K8" s="48">
        <f>'3 ROLL'!$F$24*'3 ROLL'!$F$48*roll!J8</f>
        <v>0.65178684999999992</v>
      </c>
      <c r="L8" s="50">
        <f t="shared" si="2"/>
        <v>1931956.6635946014</v>
      </c>
      <c r="M8" s="108"/>
      <c r="N8" s="48">
        <f t="shared" si="3"/>
        <v>1.162671</v>
      </c>
      <c r="O8" s="48">
        <f>'3 ROLL'!$F$27*'3 ROLL'!$F$49*roll!N8</f>
        <v>0.18137667600000001</v>
      </c>
      <c r="P8" s="50">
        <f t="shared" si="4"/>
        <v>10752345.734463315</v>
      </c>
      <c r="Q8" s="106"/>
      <c r="R8" s="48">
        <f t="shared" si="5"/>
        <v>1.162671</v>
      </c>
      <c r="S8" s="48">
        <f>'3 ROLL'!$F$30*'3 ROLL'!$F$49*roll!R8</f>
        <v>0.12091778400000001</v>
      </c>
      <c r="T8" s="50">
        <f t="shared" si="6"/>
        <v>1075.2345734463315</v>
      </c>
      <c r="U8" s="106"/>
      <c r="V8" s="48">
        <f t="shared" si="7"/>
        <v>1.162671</v>
      </c>
      <c r="W8" s="48">
        <f>'3 ROLL'!$F$33*'3 ROLL'!$F$50*roll!V8</f>
        <v>0</v>
      </c>
      <c r="X8" s="50">
        <f t="shared" si="8"/>
        <v>0</v>
      </c>
    </row>
    <row r="9" spans="2:24" ht="14.5" customHeight="1" x14ac:dyDescent="0.35">
      <c r="B9" s="91">
        <f t="shared" si="1"/>
        <v>5</v>
      </c>
      <c r="C9" s="49">
        <f>IF(B9&lt;='3 ROLL'!$F$41,'3 ROLL'!$F$37+B8*'3 ROLL'!$F$38,
IF(B9&lt;=2*'3 ROLL'!$F$41,'3 ROLL'!$F$37+ (B8-'3 ROLL'!$F$41) *'3 ROLL'!$F$38,
IF(B9&lt;=3*'3 ROLL'!$F$41,'3 ROLL'!$F$37+ (B8-2*'3 ROLL'!$F$41) *'3 ROLL'!$F$38,
IF(B9&lt;=4*'3 ROLL'!$F$41,'3 ROLL'!$F$37+ (B8-3*'3 ROLL'!$F$41) *'3 ROLL'!$F$38,
IF(B9&lt;=5*'3 ROLL'!$F$41,'3 ROLL'!$F$37+ (B8-4*'3 ROLL'!$F$41) *'3 ROLL'!$F$38,
IF(B9&lt;=6*'3 ROLL'!$F$41,'3 ROLL'!$F$37+ (B8-5*'3 ROLL'!$F$41) *'3 ROLL'!$F$38,
IF(B9&lt;=7*'3 ROLL'!$F$41,'3 ROLL'!$F$37+ (B8-6*'3 ROLL'!$F$41) *'3 ROLL'!$F$38,
IF(B9&lt;=8*'3 ROLL'!$F$41,'3 ROLL'!$F$37+ (B8-7*'3 ROLL'!$F$41) *'3 ROLL'!$F$38,
IF(B9&lt;=9*'3 ROLL'!$F$41,'3 ROLL'!$F$37+ (B8-8*'3 ROLL'!$F$41) *'3 ROLL'!$F$38,
IF(B9&lt;=10*'3 ROLL'!$F$41,'3 ROLL'!$F$37+ (B8-9*'3 ROLL'!$F$41) *'3 ROLL'!$F$38,
IF(B9&lt;=11*'3 ROLL'!$F$41,'3 ROLL'!$F$37+ (B8-10*'3 ROLL'!$F$41) *'3 ROLL'!$F$38,
IF(B9&lt;=12*'3 ROLL'!$F$41,'3 ROLL'!$F$37+ (B8-11*'3 ROLL'!$F$41) *'3 ROLL'!$F$38,
IF(B9&lt;=13*'3 ROLL'!$F$41,'3 ROLL'!$F$37+ (B8-12*'3 ROLL'!$F$41) *'3 ROLL'!$F$38,
IF(B9&lt;=14*'3 ROLL'!$F$41,'3 ROLL'!$F$37+ (B8-13*'3 ROLL'!$F$41) *'3 ROLL'!$F$38,
IF(B9&lt;=15*'3 ROLL'!$F$41,'3 ROLL'!$F$37+ (B8-14*'3 ROLL'!$F$41) *'3 ROLL'!$F$38,
IF(B9&lt;=16*'3 ROLL'!$F$41,'3 ROLL'!$F$37+ (B8-15*'3 ROLL'!$F$41) *'3 ROLL'!$F$38,
IF(B9&lt;=17*'3 ROLL'!$F$41,'3 ROLL'!$F$37+ (B8-16*'3 ROLL'!$F$41) *'3 ROLL'!$F$38,
IF(B9&lt;=18*'3 ROLL'!$F$41,'3 ROLL'!$F$37+ (B8-17*'3 ROLL'!$F$41) *'3 ROLL'!$F$38,
IF(B9&lt;=19*'3 ROLL'!$F$41,'3 ROLL'!$F$37+ (B8-18*'3 ROLL'!$F$41) *'3 ROLL'!$F$38,
IF(B9&lt;=20*'3 ROLL'!$F$41,'3 ROLL'!$F$37+ (B8-19*'3 ROLL'!$F$41) *'3 ROLL'!$F$38, ""
) ) ) ) ) ) ) ) ) ) ) ) ) ) ) ) ) ) ) )</f>
        <v>2.4</v>
      </c>
      <c r="D9" s="105"/>
      <c r="E9" s="111">
        <f>'3 ROLL'!$F$11*'3 ROLL'!$F$9*( ((1+'3 ROLL'!$F$12)^roll!B9 - 1) /'3 ROLL'!$F$12)</f>
        <v>3723733.6572999945</v>
      </c>
      <c r="F9" s="111">
        <f>'3 ROLL'!$F$14*'3 ROLL'!$F$9*( ((1+'3 ROLL'!$F$15)^roll!B9 - 1) /'3 ROLL'!$F$15)</f>
        <v>74474673.145999894</v>
      </c>
      <c r="G9" s="111">
        <f>'3 ROLL'!$F$17*'3 ROLL'!$F$9*( ((1+'3 ROLL'!$F$18)^roll!B9 - 1) /'3 ROLL'!$F$18)</f>
        <v>11171.200971899983</v>
      </c>
      <c r="H9" s="111">
        <f>'3 ROLL'!$F$20*'3 ROLL'!$F$9*( ((1+'3 ROLL'!$F$21)^roll!B9 - 1) /'3 ROLL'!$F$21)</f>
        <v>7447.4673145999895</v>
      </c>
      <c r="I9" s="109"/>
      <c r="J9" s="48">
        <f t="shared" si="0"/>
        <v>1.004912</v>
      </c>
      <c r="K9" s="48">
        <f>'3 ROLL'!$F$24*'3 ROLL'!$F$48*roll!J9</f>
        <v>0.65319280000000002</v>
      </c>
      <c r="L9" s="50">
        <f t="shared" si="2"/>
        <v>2432316.0140660238</v>
      </c>
      <c r="M9" s="108"/>
      <c r="N9" s="48">
        <f t="shared" si="3"/>
        <v>1.170048</v>
      </c>
      <c r="O9" s="48">
        <f>'3 ROLL'!$F$27*'3 ROLL'!$F$49*roll!N9</f>
        <v>0.18252748799999999</v>
      </c>
      <c r="P9" s="50">
        <f t="shared" si="4"/>
        <v>13593675.008960417</v>
      </c>
      <c r="Q9" s="106"/>
      <c r="R9" s="48">
        <f t="shared" si="5"/>
        <v>1.170048</v>
      </c>
      <c r="S9" s="48">
        <f>'3 ROLL'!$F$30*'3 ROLL'!$F$49*roll!R9</f>
        <v>0.12168499200000001</v>
      </c>
      <c r="T9" s="50">
        <f t="shared" si="6"/>
        <v>1359.3675008960417</v>
      </c>
      <c r="U9" s="106"/>
      <c r="V9" s="48">
        <f t="shared" si="7"/>
        <v>1.170048</v>
      </c>
      <c r="W9" s="48">
        <f>'3 ROLL'!$F$33*'3 ROLL'!$F$50*roll!V9</f>
        <v>0</v>
      </c>
      <c r="X9" s="50">
        <f t="shared" si="8"/>
        <v>0</v>
      </c>
    </row>
    <row r="10" spans="2:24" ht="14.5" customHeight="1" x14ac:dyDescent="0.35">
      <c r="B10" s="91">
        <f t="shared" si="1"/>
        <v>6</v>
      </c>
      <c r="C10" s="49">
        <f>IF(B10&lt;='3 ROLL'!$F$41,'3 ROLL'!$F$37+B9*'3 ROLL'!$F$38,
IF(B10&lt;=2*'3 ROLL'!$F$41,'3 ROLL'!$F$37+ (B9-'3 ROLL'!$F$41) *'3 ROLL'!$F$38,
IF(B10&lt;=3*'3 ROLL'!$F$41,'3 ROLL'!$F$37+ (B9-2*'3 ROLL'!$F$41) *'3 ROLL'!$F$38,
IF(B10&lt;=4*'3 ROLL'!$F$41,'3 ROLL'!$F$37+ (B9-3*'3 ROLL'!$F$41) *'3 ROLL'!$F$38,
IF(B10&lt;=5*'3 ROLL'!$F$41,'3 ROLL'!$F$37+ (B9-4*'3 ROLL'!$F$41) *'3 ROLL'!$F$38,
IF(B10&lt;=6*'3 ROLL'!$F$41,'3 ROLL'!$F$37+ (B9-5*'3 ROLL'!$F$41) *'3 ROLL'!$F$38,
IF(B10&lt;=7*'3 ROLL'!$F$41,'3 ROLL'!$F$37+ (B9-6*'3 ROLL'!$F$41) *'3 ROLL'!$F$38,
IF(B10&lt;=8*'3 ROLL'!$F$41,'3 ROLL'!$F$37+ (B9-7*'3 ROLL'!$F$41) *'3 ROLL'!$F$38,
IF(B10&lt;=9*'3 ROLL'!$F$41,'3 ROLL'!$F$37+ (B9-8*'3 ROLL'!$F$41) *'3 ROLL'!$F$38,
IF(B10&lt;=10*'3 ROLL'!$F$41,'3 ROLL'!$F$37+ (B9-9*'3 ROLL'!$F$41) *'3 ROLL'!$F$38,
IF(B10&lt;=11*'3 ROLL'!$F$41,'3 ROLL'!$F$37+ (B9-10*'3 ROLL'!$F$41) *'3 ROLL'!$F$38,
IF(B10&lt;=12*'3 ROLL'!$F$41,'3 ROLL'!$F$37+ (B9-11*'3 ROLL'!$F$41) *'3 ROLL'!$F$38,
IF(B10&lt;=13*'3 ROLL'!$F$41,'3 ROLL'!$F$37+ (B9-12*'3 ROLL'!$F$41) *'3 ROLL'!$F$38,
IF(B10&lt;=14*'3 ROLL'!$F$41,'3 ROLL'!$F$37+ (B9-13*'3 ROLL'!$F$41) *'3 ROLL'!$F$38,
IF(B10&lt;=15*'3 ROLL'!$F$41,'3 ROLL'!$F$37+ (B9-14*'3 ROLL'!$F$41) *'3 ROLL'!$F$38,
IF(B10&lt;=16*'3 ROLL'!$F$41,'3 ROLL'!$F$37+ (B9-15*'3 ROLL'!$F$41) *'3 ROLL'!$F$38,
IF(B10&lt;=17*'3 ROLL'!$F$41,'3 ROLL'!$F$37+ (B9-16*'3 ROLL'!$F$41) *'3 ROLL'!$F$38,
IF(B10&lt;=18*'3 ROLL'!$F$41,'3 ROLL'!$F$37+ (B9-17*'3 ROLL'!$F$41) *'3 ROLL'!$F$38,
IF(B10&lt;=19*'3 ROLL'!$F$41,'3 ROLL'!$F$37+ (B9-18*'3 ROLL'!$F$41) *'3 ROLL'!$F$38,
IF(B10&lt;=20*'3 ROLL'!$F$41,'3 ROLL'!$F$37+ (B9-19*'3 ROLL'!$F$41) *'3 ROLL'!$F$38, ""
) ) ) ) ) ) ) ) ) ) ) ) ) ) ) ) ) ) ) )</f>
        <v>2.5</v>
      </c>
      <c r="D10" s="89"/>
      <c r="E10" s="111">
        <f>'3 ROLL'!$F$11*'3 ROLL'!$F$9*( ((1+'3 ROLL'!$F$12)^roll!B10 - 1) /'3 ROLL'!$F$12)</f>
        <v>4490970.9938730095</v>
      </c>
      <c r="F10" s="111">
        <f>'3 ROLL'!$F$14*'3 ROLL'!$F$9*( ((1+'3 ROLL'!$F$15)^roll!B10 - 1) /'3 ROLL'!$F$15)</f>
        <v>89819419.877460197</v>
      </c>
      <c r="G10" s="111">
        <f>'3 ROLL'!$F$17*'3 ROLL'!$F$9*( ((1+'3 ROLL'!$F$18)^roll!B10 - 1) /'3 ROLL'!$F$18)</f>
        <v>13472.912981619029</v>
      </c>
      <c r="H10" s="111">
        <f>'3 ROLL'!$F$20*'3 ROLL'!$F$9*( ((1+'3 ROLL'!$F$21)^roll!B10 - 1) /'3 ROLL'!$F$21)</f>
        <v>8981.9419877460205</v>
      </c>
      <c r="I10" s="109"/>
      <c r="J10" s="48">
        <f t="shared" si="0"/>
        <v>1.0070749999999999</v>
      </c>
      <c r="K10" s="48">
        <f>'3 ROLL'!$F$24*'3 ROLL'!$F$48*roll!J10</f>
        <v>0.65459875000000001</v>
      </c>
      <c r="L10" s="50">
        <f t="shared" si="2"/>
        <v>2939783.9988755295</v>
      </c>
      <c r="M10" s="108"/>
      <c r="N10" s="48">
        <f t="shared" si="3"/>
        <v>1.1774249999999999</v>
      </c>
      <c r="O10" s="48">
        <f>'3 ROLL'!$F$27*'3 ROLL'!$F$49*roll!N10</f>
        <v>0.18367829999999999</v>
      </c>
      <c r="P10" s="50">
        <f t="shared" si="4"/>
        <v>16497878.350078097</v>
      </c>
      <c r="Q10" s="106"/>
      <c r="R10" s="48">
        <f t="shared" si="5"/>
        <v>1.1774249999999999</v>
      </c>
      <c r="S10" s="48">
        <f>'3 ROLL'!$F$30*'3 ROLL'!$F$49*roll!R10</f>
        <v>0.12245220000000001</v>
      </c>
      <c r="T10" s="50">
        <f t="shared" si="6"/>
        <v>1649.7878350078097</v>
      </c>
      <c r="U10" s="106"/>
      <c r="V10" s="48">
        <f t="shared" si="7"/>
        <v>1.1774249999999999</v>
      </c>
      <c r="W10" s="48">
        <f>'3 ROLL'!$F$33*'3 ROLL'!$F$50*roll!V10</f>
        <v>0</v>
      </c>
      <c r="X10" s="50">
        <f t="shared" si="8"/>
        <v>0</v>
      </c>
    </row>
    <row r="11" spans="2:24" ht="14.5" customHeight="1" x14ac:dyDescent="0.35">
      <c r="B11" s="91">
        <f t="shared" si="1"/>
        <v>7</v>
      </c>
      <c r="C11" s="49">
        <f>IF(B11&lt;='3 ROLL'!$F$41,'3 ROLL'!$F$37+B10*'3 ROLL'!$F$38,
IF(B11&lt;=2*'3 ROLL'!$F$41,'3 ROLL'!$F$37+ (B10-'3 ROLL'!$F$41) *'3 ROLL'!$F$38,
IF(B11&lt;=3*'3 ROLL'!$F$41,'3 ROLL'!$F$37+ (B10-2*'3 ROLL'!$F$41) *'3 ROLL'!$F$38,
IF(B11&lt;=4*'3 ROLL'!$F$41,'3 ROLL'!$F$37+ (B10-3*'3 ROLL'!$F$41) *'3 ROLL'!$F$38,
IF(B11&lt;=5*'3 ROLL'!$F$41,'3 ROLL'!$F$37+ (B10-4*'3 ROLL'!$F$41) *'3 ROLL'!$F$38,
IF(B11&lt;=6*'3 ROLL'!$F$41,'3 ROLL'!$F$37+ (B10-5*'3 ROLL'!$F$41) *'3 ROLL'!$F$38,
IF(B11&lt;=7*'3 ROLL'!$F$41,'3 ROLL'!$F$37+ (B10-6*'3 ROLL'!$F$41) *'3 ROLL'!$F$38,
IF(B11&lt;=8*'3 ROLL'!$F$41,'3 ROLL'!$F$37+ (B10-7*'3 ROLL'!$F$41) *'3 ROLL'!$F$38,
IF(B11&lt;=9*'3 ROLL'!$F$41,'3 ROLL'!$F$37+ (B10-8*'3 ROLL'!$F$41) *'3 ROLL'!$F$38,
IF(B11&lt;=10*'3 ROLL'!$F$41,'3 ROLL'!$F$37+ (B10-9*'3 ROLL'!$F$41) *'3 ROLL'!$F$38,
IF(B11&lt;=11*'3 ROLL'!$F$41,'3 ROLL'!$F$37+ (B10-10*'3 ROLL'!$F$41) *'3 ROLL'!$F$38,
IF(B11&lt;=12*'3 ROLL'!$F$41,'3 ROLL'!$F$37+ (B10-11*'3 ROLL'!$F$41) *'3 ROLL'!$F$38,
IF(B11&lt;=13*'3 ROLL'!$F$41,'3 ROLL'!$F$37+ (B10-12*'3 ROLL'!$F$41) *'3 ROLL'!$F$38,
IF(B11&lt;=14*'3 ROLL'!$F$41,'3 ROLL'!$F$37+ (B10-13*'3 ROLL'!$F$41) *'3 ROLL'!$F$38,
IF(B11&lt;=15*'3 ROLL'!$F$41,'3 ROLL'!$F$37+ (B10-14*'3 ROLL'!$F$41) *'3 ROLL'!$F$38,
IF(B11&lt;=16*'3 ROLL'!$F$41,'3 ROLL'!$F$37+ (B10-15*'3 ROLL'!$F$41) *'3 ROLL'!$F$38,
IF(B11&lt;=17*'3 ROLL'!$F$41,'3 ROLL'!$F$37+ (B10-16*'3 ROLL'!$F$41) *'3 ROLL'!$F$38,
IF(B11&lt;=18*'3 ROLL'!$F$41,'3 ROLL'!$F$37+ (B10-17*'3 ROLL'!$F$41) *'3 ROLL'!$F$38,
IF(B11&lt;=19*'3 ROLL'!$F$41,'3 ROLL'!$F$37+ (B10-18*'3 ROLL'!$F$41) *'3 ROLL'!$F$38,
IF(B11&lt;=20*'3 ROLL'!$F$41,'3 ROLL'!$F$37+ (B10-19*'3 ROLL'!$F$41) *'3 ROLL'!$F$38, ""
) ) ) ) ) ) ) ) ) ) ) ) ) ) ) ) ) ) ) )</f>
        <v>2.6</v>
      </c>
      <c r="D11" s="105"/>
      <c r="E11" s="111">
        <f>'3 ROLL'!$F$11*'3 ROLL'!$F$9*( ((1+'3 ROLL'!$F$12)^roll!B11 - 1) /'3 ROLL'!$F$12)</f>
        <v>5265880.7038117182</v>
      </c>
      <c r="F11" s="111">
        <f>'3 ROLL'!$F$14*'3 ROLL'!$F$9*( ((1+'3 ROLL'!$F$15)^roll!B11 - 1) /'3 ROLL'!$F$15)</f>
        <v>105317614.07623436</v>
      </c>
      <c r="G11" s="111">
        <f>'3 ROLL'!$F$17*'3 ROLL'!$F$9*( ((1+'3 ROLL'!$F$18)^roll!B11 - 1) /'3 ROLL'!$F$18)</f>
        <v>15797.642111435152</v>
      </c>
      <c r="H11" s="111">
        <f>'3 ROLL'!$F$20*'3 ROLL'!$F$9*( ((1+'3 ROLL'!$F$21)^roll!B11 - 1) /'3 ROLL'!$F$21)</f>
        <v>10531.761407623435</v>
      </c>
      <c r="I11" s="109"/>
      <c r="J11" s="48">
        <f t="shared" si="0"/>
        <v>1.0092379999999999</v>
      </c>
      <c r="K11" s="48">
        <f>'3 ROLL'!$F$24*'3 ROLL'!$F$48*roll!J11</f>
        <v>0.65600469999999989</v>
      </c>
      <c r="L11" s="50">
        <f t="shared" si="2"/>
        <v>3454442.4913397944</v>
      </c>
      <c r="M11" s="108"/>
      <c r="N11" s="48">
        <f t="shared" si="3"/>
        <v>1.1848019999999999</v>
      </c>
      <c r="O11" s="48">
        <f>'3 ROLL'!$F$27*'3 ROLL'!$F$49*roll!N11</f>
        <v>0.18482911199999999</v>
      </c>
      <c r="P11" s="50">
        <f t="shared" si="4"/>
        <v>19465761.087669097</v>
      </c>
      <c r="Q11" s="106"/>
      <c r="R11" s="48">
        <f t="shared" si="5"/>
        <v>1.1848019999999999</v>
      </c>
      <c r="S11" s="48">
        <f>'3 ROLL'!$F$30*'3 ROLL'!$F$49*roll!R11</f>
        <v>0.123219408</v>
      </c>
      <c r="T11" s="50">
        <f t="shared" si="6"/>
        <v>1946.5761087669096</v>
      </c>
      <c r="U11" s="106"/>
      <c r="V11" s="48">
        <f t="shared" si="7"/>
        <v>1.1848019999999999</v>
      </c>
      <c r="W11" s="48">
        <f>'3 ROLL'!$F$33*'3 ROLL'!$F$50*roll!V11</f>
        <v>0</v>
      </c>
      <c r="X11" s="50">
        <f t="shared" si="8"/>
        <v>0</v>
      </c>
    </row>
    <row r="12" spans="2:24" ht="14.5" customHeight="1" x14ac:dyDescent="0.35">
      <c r="B12" s="91">
        <f t="shared" si="1"/>
        <v>8</v>
      </c>
      <c r="C12" s="49">
        <f>IF(B12&lt;='3 ROLL'!$F$41,'3 ROLL'!$F$37+B11*'3 ROLL'!$F$38,
IF(B12&lt;=2*'3 ROLL'!$F$41,'3 ROLL'!$F$37+ (B11-'3 ROLL'!$F$41) *'3 ROLL'!$F$38,
IF(B12&lt;=3*'3 ROLL'!$F$41,'3 ROLL'!$F$37+ (B11-2*'3 ROLL'!$F$41) *'3 ROLL'!$F$38,
IF(B12&lt;=4*'3 ROLL'!$F$41,'3 ROLL'!$F$37+ (B11-3*'3 ROLL'!$F$41) *'3 ROLL'!$F$38,
IF(B12&lt;=5*'3 ROLL'!$F$41,'3 ROLL'!$F$37+ (B11-4*'3 ROLL'!$F$41) *'3 ROLL'!$F$38,
IF(B12&lt;=6*'3 ROLL'!$F$41,'3 ROLL'!$F$37+ (B11-5*'3 ROLL'!$F$41) *'3 ROLL'!$F$38,
IF(B12&lt;=7*'3 ROLL'!$F$41,'3 ROLL'!$F$37+ (B11-6*'3 ROLL'!$F$41) *'3 ROLL'!$F$38,
IF(B12&lt;=8*'3 ROLL'!$F$41,'3 ROLL'!$F$37+ (B11-7*'3 ROLL'!$F$41) *'3 ROLL'!$F$38,
IF(B12&lt;=9*'3 ROLL'!$F$41,'3 ROLL'!$F$37+ (B11-8*'3 ROLL'!$F$41) *'3 ROLL'!$F$38,
IF(B12&lt;=10*'3 ROLL'!$F$41,'3 ROLL'!$F$37+ (B11-9*'3 ROLL'!$F$41) *'3 ROLL'!$F$38,
IF(B12&lt;=11*'3 ROLL'!$F$41,'3 ROLL'!$F$37+ (B11-10*'3 ROLL'!$F$41) *'3 ROLL'!$F$38,
IF(B12&lt;=12*'3 ROLL'!$F$41,'3 ROLL'!$F$37+ (B11-11*'3 ROLL'!$F$41) *'3 ROLL'!$F$38,
IF(B12&lt;=13*'3 ROLL'!$F$41,'3 ROLL'!$F$37+ (B11-12*'3 ROLL'!$F$41) *'3 ROLL'!$F$38,
IF(B12&lt;=14*'3 ROLL'!$F$41,'3 ROLL'!$F$37+ (B11-13*'3 ROLL'!$F$41) *'3 ROLL'!$F$38,
IF(B12&lt;=15*'3 ROLL'!$F$41,'3 ROLL'!$F$37+ (B11-14*'3 ROLL'!$F$41) *'3 ROLL'!$F$38,
IF(B12&lt;=16*'3 ROLL'!$F$41,'3 ROLL'!$F$37+ (B11-15*'3 ROLL'!$F$41) *'3 ROLL'!$F$38,
IF(B12&lt;=17*'3 ROLL'!$F$41,'3 ROLL'!$F$37+ (B11-16*'3 ROLL'!$F$41) *'3 ROLL'!$F$38,
IF(B12&lt;=18*'3 ROLL'!$F$41,'3 ROLL'!$F$37+ (B11-17*'3 ROLL'!$F$41) *'3 ROLL'!$F$38,
IF(B12&lt;=19*'3 ROLL'!$F$41,'3 ROLL'!$F$37+ (B11-18*'3 ROLL'!$F$41) *'3 ROLL'!$F$38,
IF(B12&lt;=20*'3 ROLL'!$F$41,'3 ROLL'!$F$37+ (B11-19*'3 ROLL'!$F$41) *'3 ROLL'!$F$38, ""
) ) ) ) ) ) ) ) ) ) ) ) ) ) ) ) ) ) ) )</f>
        <v>2.7</v>
      </c>
      <c r="D12" s="105"/>
      <c r="E12" s="111">
        <f>'3 ROLL'!$F$11*'3 ROLL'!$F$9*( ((1+'3 ROLL'!$F$12)^roll!B12 - 1) /'3 ROLL'!$F$12)</f>
        <v>6048539.5108498558</v>
      </c>
      <c r="F12" s="111">
        <f>'3 ROLL'!$F$14*'3 ROLL'!$F$9*( ((1+'3 ROLL'!$F$15)^roll!B12 - 1) /'3 ROLL'!$F$15)</f>
        <v>120970790.21699712</v>
      </c>
      <c r="G12" s="111">
        <f>'3 ROLL'!$F$17*'3 ROLL'!$F$9*( ((1+'3 ROLL'!$F$18)^roll!B12 - 1) /'3 ROLL'!$F$18)</f>
        <v>18145.618532549568</v>
      </c>
      <c r="H12" s="111">
        <f>'3 ROLL'!$F$20*'3 ROLL'!$F$9*( ((1+'3 ROLL'!$F$21)^roll!B12 - 1) /'3 ROLL'!$F$21)</f>
        <v>12097.079021699712</v>
      </c>
      <c r="I12" s="109"/>
      <c r="J12" s="48">
        <f t="shared" si="0"/>
        <v>1.011401</v>
      </c>
      <c r="K12" s="48">
        <f>'3 ROLL'!$F$24*'3 ROLL'!$F$48*roll!J12</f>
        <v>0.65741064999999999</v>
      </c>
      <c r="L12" s="50">
        <f t="shared" si="2"/>
        <v>3976374.2913784855</v>
      </c>
      <c r="M12" s="108"/>
      <c r="N12" s="48">
        <f t="shared" si="3"/>
        <v>1.1921790000000001</v>
      </c>
      <c r="O12" s="48">
        <f>'3 ROLL'!$F$27*'3 ROLL'!$F$49*roll!N12</f>
        <v>0.18597992400000002</v>
      </c>
      <c r="P12" s="50">
        <f t="shared" si="4"/>
        <v>22498138.370777071</v>
      </c>
      <c r="Q12" s="106"/>
      <c r="R12" s="48">
        <f t="shared" si="5"/>
        <v>1.1921790000000001</v>
      </c>
      <c r="S12" s="48">
        <f>'3 ROLL'!$F$30*'3 ROLL'!$F$49*roll!R12</f>
        <v>0.12398661600000002</v>
      </c>
      <c r="T12" s="50">
        <f t="shared" si="6"/>
        <v>2249.8138370777074</v>
      </c>
      <c r="U12" s="106"/>
      <c r="V12" s="48">
        <f t="shared" si="7"/>
        <v>1.1921790000000001</v>
      </c>
      <c r="W12" s="48">
        <f>'3 ROLL'!$F$33*'3 ROLL'!$F$50*roll!V12</f>
        <v>0</v>
      </c>
      <c r="X12" s="50">
        <f t="shared" si="8"/>
        <v>0</v>
      </c>
    </row>
    <row r="13" spans="2:24" ht="14.5" customHeight="1" x14ac:dyDescent="0.35">
      <c r="B13" s="91">
        <f t="shared" si="1"/>
        <v>9</v>
      </c>
      <c r="C13" s="49">
        <f>IF(B13&lt;='3 ROLL'!$F$41,'3 ROLL'!$F$37+B12*'3 ROLL'!$F$38,
IF(B13&lt;=2*'3 ROLL'!$F$41,'3 ROLL'!$F$37+ (B12-'3 ROLL'!$F$41) *'3 ROLL'!$F$38,
IF(B13&lt;=3*'3 ROLL'!$F$41,'3 ROLL'!$F$37+ (B12-2*'3 ROLL'!$F$41) *'3 ROLL'!$F$38,
IF(B13&lt;=4*'3 ROLL'!$F$41,'3 ROLL'!$F$37+ (B12-3*'3 ROLL'!$F$41) *'3 ROLL'!$F$38,
IF(B13&lt;=5*'3 ROLL'!$F$41,'3 ROLL'!$F$37+ (B12-4*'3 ROLL'!$F$41) *'3 ROLL'!$F$38,
IF(B13&lt;=6*'3 ROLL'!$F$41,'3 ROLL'!$F$37+ (B12-5*'3 ROLL'!$F$41) *'3 ROLL'!$F$38,
IF(B13&lt;=7*'3 ROLL'!$F$41,'3 ROLL'!$F$37+ (B12-6*'3 ROLL'!$F$41) *'3 ROLL'!$F$38,
IF(B13&lt;=8*'3 ROLL'!$F$41,'3 ROLL'!$F$37+ (B12-7*'3 ROLL'!$F$41) *'3 ROLL'!$F$38,
IF(B13&lt;=9*'3 ROLL'!$F$41,'3 ROLL'!$F$37+ (B12-8*'3 ROLL'!$F$41) *'3 ROLL'!$F$38,
IF(B13&lt;=10*'3 ROLL'!$F$41,'3 ROLL'!$F$37+ (B12-9*'3 ROLL'!$F$41) *'3 ROLL'!$F$38,
IF(B13&lt;=11*'3 ROLL'!$F$41,'3 ROLL'!$F$37+ (B12-10*'3 ROLL'!$F$41) *'3 ROLL'!$F$38,
IF(B13&lt;=12*'3 ROLL'!$F$41,'3 ROLL'!$F$37+ (B12-11*'3 ROLL'!$F$41) *'3 ROLL'!$F$38,
IF(B13&lt;=13*'3 ROLL'!$F$41,'3 ROLL'!$F$37+ (B12-12*'3 ROLL'!$F$41) *'3 ROLL'!$F$38,
IF(B13&lt;=14*'3 ROLL'!$F$41,'3 ROLL'!$F$37+ (B12-13*'3 ROLL'!$F$41) *'3 ROLL'!$F$38,
IF(B13&lt;=15*'3 ROLL'!$F$41,'3 ROLL'!$F$37+ (B12-14*'3 ROLL'!$F$41) *'3 ROLL'!$F$38,
IF(B13&lt;=16*'3 ROLL'!$F$41,'3 ROLL'!$F$37+ (B12-15*'3 ROLL'!$F$41) *'3 ROLL'!$F$38,
IF(B13&lt;=17*'3 ROLL'!$F$41,'3 ROLL'!$F$37+ (B12-16*'3 ROLL'!$F$41) *'3 ROLL'!$F$38,
IF(B13&lt;=18*'3 ROLL'!$F$41,'3 ROLL'!$F$37+ (B12-17*'3 ROLL'!$F$41) *'3 ROLL'!$F$38,
IF(B13&lt;=19*'3 ROLL'!$F$41,'3 ROLL'!$F$37+ (B12-18*'3 ROLL'!$F$41) *'3 ROLL'!$F$38,
IF(B13&lt;=20*'3 ROLL'!$F$41,'3 ROLL'!$F$37+ (B12-19*'3 ROLL'!$F$41) *'3 ROLL'!$F$38, ""
) ) ) ) ) ) ) ) ) ) ) ) ) ) ) ) ) ) ) )</f>
        <v>2.8</v>
      </c>
      <c r="D13" s="105"/>
      <c r="E13" s="111">
        <f>'3 ROLL'!$F$11*'3 ROLL'!$F$9*( ((1+'3 ROLL'!$F$12)^roll!B13 - 1) /'3 ROLL'!$F$12)</f>
        <v>6839024.905958361</v>
      </c>
      <c r="F13" s="111">
        <f>'3 ROLL'!$F$14*'3 ROLL'!$F$9*( ((1+'3 ROLL'!$F$15)^roll!B13 - 1) /'3 ROLL'!$F$15)</f>
        <v>136780498.11916721</v>
      </c>
      <c r="G13" s="111">
        <f>'3 ROLL'!$F$17*'3 ROLL'!$F$9*( ((1+'3 ROLL'!$F$18)^roll!B13 - 1) /'3 ROLL'!$F$18)</f>
        <v>20517.074717875083</v>
      </c>
      <c r="H13" s="111">
        <f>'3 ROLL'!$F$20*'3 ROLL'!$F$9*( ((1+'3 ROLL'!$F$21)^roll!B13 - 1) /'3 ROLL'!$F$21)</f>
        <v>13678.049811916722</v>
      </c>
      <c r="I13" s="109"/>
      <c r="J13" s="48">
        <f t="shared" si="0"/>
        <v>1.0135639999999999</v>
      </c>
      <c r="K13" s="48">
        <f>'3 ROLL'!$F$24*'3 ROLL'!$F$48*roll!J13</f>
        <v>0.65881659999999997</v>
      </c>
      <c r="L13" s="50">
        <f t="shared" si="2"/>
        <v>4505663.1358588068</v>
      </c>
      <c r="M13" s="108"/>
      <c r="N13" s="48">
        <f t="shared" si="3"/>
        <v>1.1995560000000001</v>
      </c>
      <c r="O13" s="48">
        <f>'3 ROLL'!$F$27*'3 ROLL'!$F$49*roll!N13</f>
        <v>0.18713073600000002</v>
      </c>
      <c r="P13" s="50">
        <f t="shared" si="4"/>
        <v>25595835.283486377</v>
      </c>
      <c r="Q13" s="106"/>
      <c r="R13" s="48">
        <f t="shared" si="5"/>
        <v>1.1995560000000001</v>
      </c>
      <c r="S13" s="48">
        <f>'3 ROLL'!$F$30*'3 ROLL'!$F$49*roll!R13</f>
        <v>0.12475382400000001</v>
      </c>
      <c r="T13" s="50">
        <f t="shared" si="6"/>
        <v>2559.5835283486381</v>
      </c>
      <c r="U13" s="106"/>
      <c r="V13" s="48">
        <f t="shared" si="7"/>
        <v>1.1995560000000001</v>
      </c>
      <c r="W13" s="48">
        <f>'3 ROLL'!$F$33*'3 ROLL'!$F$50*roll!V13</f>
        <v>0</v>
      </c>
      <c r="X13" s="50">
        <f t="shared" si="8"/>
        <v>0</v>
      </c>
    </row>
    <row r="14" spans="2:24" ht="14.5" customHeight="1" x14ac:dyDescent="0.35">
      <c r="B14" s="91">
        <f t="shared" si="1"/>
        <v>10</v>
      </c>
      <c r="C14" s="49">
        <f>IF(B14&lt;='3 ROLL'!$F$41,'3 ROLL'!$F$37+B13*'3 ROLL'!$F$38,
IF(B14&lt;=2*'3 ROLL'!$F$41,'3 ROLL'!$F$37+ (B13-'3 ROLL'!$F$41) *'3 ROLL'!$F$38,
IF(B14&lt;=3*'3 ROLL'!$F$41,'3 ROLL'!$F$37+ (B13-2*'3 ROLL'!$F$41) *'3 ROLL'!$F$38,
IF(B14&lt;=4*'3 ROLL'!$F$41,'3 ROLL'!$F$37+ (B13-3*'3 ROLL'!$F$41) *'3 ROLL'!$F$38,
IF(B14&lt;=5*'3 ROLL'!$F$41,'3 ROLL'!$F$37+ (B13-4*'3 ROLL'!$F$41) *'3 ROLL'!$F$38,
IF(B14&lt;=6*'3 ROLL'!$F$41,'3 ROLL'!$F$37+ (B13-5*'3 ROLL'!$F$41) *'3 ROLL'!$F$38,
IF(B14&lt;=7*'3 ROLL'!$F$41,'3 ROLL'!$F$37+ (B13-6*'3 ROLL'!$F$41) *'3 ROLL'!$F$38,
IF(B14&lt;=8*'3 ROLL'!$F$41,'3 ROLL'!$F$37+ (B13-7*'3 ROLL'!$F$41) *'3 ROLL'!$F$38,
IF(B14&lt;=9*'3 ROLL'!$F$41,'3 ROLL'!$F$37+ (B13-8*'3 ROLL'!$F$41) *'3 ROLL'!$F$38,
IF(B14&lt;=10*'3 ROLL'!$F$41,'3 ROLL'!$F$37+ (B13-9*'3 ROLL'!$F$41) *'3 ROLL'!$F$38,
IF(B14&lt;=11*'3 ROLL'!$F$41,'3 ROLL'!$F$37+ (B13-10*'3 ROLL'!$F$41) *'3 ROLL'!$F$38,
IF(B14&lt;=12*'3 ROLL'!$F$41,'3 ROLL'!$F$37+ (B13-11*'3 ROLL'!$F$41) *'3 ROLL'!$F$38,
IF(B14&lt;=13*'3 ROLL'!$F$41,'3 ROLL'!$F$37+ (B13-12*'3 ROLL'!$F$41) *'3 ROLL'!$F$38,
IF(B14&lt;=14*'3 ROLL'!$F$41,'3 ROLL'!$F$37+ (B13-13*'3 ROLL'!$F$41) *'3 ROLL'!$F$38,
IF(B14&lt;=15*'3 ROLL'!$F$41,'3 ROLL'!$F$37+ (B13-14*'3 ROLL'!$F$41) *'3 ROLL'!$F$38,
IF(B14&lt;=16*'3 ROLL'!$F$41,'3 ROLL'!$F$37+ (B13-15*'3 ROLL'!$F$41) *'3 ROLL'!$F$38,
IF(B14&lt;=17*'3 ROLL'!$F$41,'3 ROLL'!$F$37+ (B13-16*'3 ROLL'!$F$41) *'3 ROLL'!$F$38,
IF(B14&lt;=18*'3 ROLL'!$F$41,'3 ROLL'!$F$37+ (B13-17*'3 ROLL'!$F$41) *'3 ROLL'!$F$38,
IF(B14&lt;=19*'3 ROLL'!$F$41,'3 ROLL'!$F$37+ (B13-18*'3 ROLL'!$F$41) *'3 ROLL'!$F$38,
IF(B14&lt;=20*'3 ROLL'!$F$41,'3 ROLL'!$F$37+ (B13-19*'3 ROLL'!$F$41) *'3 ROLL'!$F$38, ""
) ) ) ) ) ) ) ) ) ) ) ) ) ) ) ) ) ) ) )</f>
        <v>2.9</v>
      </c>
      <c r="D14" s="105"/>
      <c r="E14" s="111">
        <f>'3 ROLL'!$F$11*'3 ROLL'!$F$9*( ((1+'3 ROLL'!$F$12)^roll!B14 - 1) /'3 ROLL'!$F$12)</f>
        <v>7637415.1550179459</v>
      </c>
      <c r="F14" s="111">
        <f>'3 ROLL'!$F$14*'3 ROLL'!$F$9*( ((1+'3 ROLL'!$F$15)^roll!B14 - 1) /'3 ROLL'!$F$15)</f>
        <v>152748303.1003589</v>
      </c>
      <c r="G14" s="111">
        <f>'3 ROLL'!$F$17*'3 ROLL'!$F$9*( ((1+'3 ROLL'!$F$18)^roll!B14 - 1) /'3 ROLL'!$F$18)</f>
        <v>22912.245465053838</v>
      </c>
      <c r="H14" s="111">
        <f>'3 ROLL'!$F$20*'3 ROLL'!$F$9*( ((1+'3 ROLL'!$F$21)^roll!B14 - 1) /'3 ROLL'!$F$21)</f>
        <v>15274.830310035892</v>
      </c>
      <c r="I14" s="109"/>
      <c r="J14" s="48">
        <f t="shared" si="0"/>
        <v>1.015727</v>
      </c>
      <c r="K14" s="48">
        <f>'3 ROLL'!$F$24*'3 ROLL'!$F$48*roll!J14</f>
        <v>0.66022255000000007</v>
      </c>
      <c r="L14" s="50">
        <f t="shared" si="2"/>
        <v>5042393.7090545939</v>
      </c>
      <c r="M14" s="108"/>
      <c r="N14" s="48">
        <f t="shared" si="3"/>
        <v>1.206933</v>
      </c>
      <c r="O14" s="48">
        <f>'3 ROLL'!$F$27*'3 ROLL'!$F$49*roll!N14</f>
        <v>0.18828154799999999</v>
      </c>
      <c r="P14" s="50">
        <f t="shared" si="4"/>
        <v>28759686.962108772</v>
      </c>
      <c r="Q14" s="106"/>
      <c r="R14" s="48">
        <f t="shared" si="5"/>
        <v>1.206933</v>
      </c>
      <c r="S14" s="48">
        <f>'3 ROLL'!$F$30*'3 ROLL'!$F$49*roll!R14</f>
        <v>0.125521032</v>
      </c>
      <c r="T14" s="50">
        <f t="shared" si="6"/>
        <v>2875.9686962108776</v>
      </c>
      <c r="U14" s="106"/>
      <c r="V14" s="48">
        <f t="shared" si="7"/>
        <v>1.206933</v>
      </c>
      <c r="W14" s="48">
        <f>'3 ROLL'!$F$33*'3 ROLL'!$F$50*roll!V14</f>
        <v>0</v>
      </c>
      <c r="X14" s="50">
        <f t="shared" si="8"/>
        <v>0</v>
      </c>
    </row>
    <row r="15" spans="2:24" ht="14.5" customHeight="1" x14ac:dyDescent="0.35">
      <c r="B15" s="91">
        <f t="shared" si="1"/>
        <v>11</v>
      </c>
      <c r="C15" s="49">
        <f>IF(B15&lt;='3 ROLL'!$F$41,'3 ROLL'!$F$37+B14*'3 ROLL'!$F$38,
IF(B15&lt;=2*'3 ROLL'!$F$41,'3 ROLL'!$F$37+ (B14-'3 ROLL'!$F$41) *'3 ROLL'!$F$38,
IF(B15&lt;=3*'3 ROLL'!$F$41,'3 ROLL'!$F$37+ (B14-2*'3 ROLL'!$F$41) *'3 ROLL'!$F$38,
IF(B15&lt;=4*'3 ROLL'!$F$41,'3 ROLL'!$F$37+ (B14-3*'3 ROLL'!$F$41) *'3 ROLL'!$F$38,
IF(B15&lt;=5*'3 ROLL'!$F$41,'3 ROLL'!$F$37+ (B14-4*'3 ROLL'!$F$41) *'3 ROLL'!$F$38,
IF(B15&lt;=6*'3 ROLL'!$F$41,'3 ROLL'!$F$37+ (B14-5*'3 ROLL'!$F$41) *'3 ROLL'!$F$38,
IF(B15&lt;=7*'3 ROLL'!$F$41,'3 ROLL'!$F$37+ (B14-6*'3 ROLL'!$F$41) *'3 ROLL'!$F$38,
IF(B15&lt;=8*'3 ROLL'!$F$41,'3 ROLL'!$F$37+ (B14-7*'3 ROLL'!$F$41) *'3 ROLL'!$F$38,
IF(B15&lt;=9*'3 ROLL'!$F$41,'3 ROLL'!$F$37+ (B14-8*'3 ROLL'!$F$41) *'3 ROLL'!$F$38,
IF(B15&lt;=10*'3 ROLL'!$F$41,'3 ROLL'!$F$37+ (B14-9*'3 ROLL'!$F$41) *'3 ROLL'!$F$38,
IF(B15&lt;=11*'3 ROLL'!$F$41,'3 ROLL'!$F$37+ (B14-10*'3 ROLL'!$F$41) *'3 ROLL'!$F$38,
IF(B15&lt;=12*'3 ROLL'!$F$41,'3 ROLL'!$F$37+ (B14-11*'3 ROLL'!$F$41) *'3 ROLL'!$F$38,
IF(B15&lt;=13*'3 ROLL'!$F$41,'3 ROLL'!$F$37+ (B14-12*'3 ROLL'!$F$41) *'3 ROLL'!$F$38,
IF(B15&lt;=14*'3 ROLL'!$F$41,'3 ROLL'!$F$37+ (B14-13*'3 ROLL'!$F$41) *'3 ROLL'!$F$38,
IF(B15&lt;=15*'3 ROLL'!$F$41,'3 ROLL'!$F$37+ (B14-14*'3 ROLL'!$F$41) *'3 ROLL'!$F$38,
IF(B15&lt;=16*'3 ROLL'!$F$41,'3 ROLL'!$F$37+ (B14-15*'3 ROLL'!$F$41) *'3 ROLL'!$F$38,
IF(B15&lt;=17*'3 ROLL'!$F$41,'3 ROLL'!$F$37+ (B14-16*'3 ROLL'!$F$41) *'3 ROLL'!$F$38,
IF(B15&lt;=18*'3 ROLL'!$F$41,'3 ROLL'!$F$37+ (B14-17*'3 ROLL'!$F$41) *'3 ROLL'!$F$38,
IF(B15&lt;=19*'3 ROLL'!$F$41,'3 ROLL'!$F$37+ (B14-18*'3 ROLL'!$F$41) *'3 ROLL'!$F$38,
IF(B15&lt;=20*'3 ROLL'!$F$41,'3 ROLL'!$F$37+ (B14-19*'3 ROLL'!$F$41) *'3 ROLL'!$F$38, ""
) ) ) ) ) ) ) ) ) ) ) ) ) ) ) ) ) ) ) )</f>
        <v>3</v>
      </c>
      <c r="D15" s="105"/>
      <c r="E15" s="111">
        <f>'3 ROLL'!$F$11*'3 ROLL'!$F$9*( ((1+'3 ROLL'!$F$12)^roll!B15 - 1) /'3 ROLL'!$F$12)</f>
        <v>8443789.3065681085</v>
      </c>
      <c r="F15" s="111">
        <f>'3 ROLL'!$F$14*'3 ROLL'!$F$9*( ((1+'3 ROLL'!$F$15)^roll!B15 - 1) /'3 ROLL'!$F$15)</f>
        <v>168875786.13136217</v>
      </c>
      <c r="G15" s="111">
        <f>'3 ROLL'!$F$17*'3 ROLL'!$F$9*( ((1+'3 ROLL'!$F$18)^roll!B15 - 1) /'3 ROLL'!$F$18)</f>
        <v>25331.367919704324</v>
      </c>
      <c r="H15" s="111">
        <f>'3 ROLL'!$F$20*'3 ROLL'!$F$9*( ((1+'3 ROLL'!$F$21)^roll!B15 - 1) /'3 ROLL'!$F$21)</f>
        <v>16887.578613136215</v>
      </c>
      <c r="I15" s="109"/>
      <c r="J15" s="48">
        <f t="shared" si="0"/>
        <v>1.01789</v>
      </c>
      <c r="K15" s="48">
        <f>'3 ROLL'!$F$24*'3 ROLL'!$F$48*roll!J15</f>
        <v>0.66162849999999995</v>
      </c>
      <c r="L15" s="50">
        <f t="shared" si="2"/>
        <v>5586651.6532206973</v>
      </c>
      <c r="M15" s="108"/>
      <c r="N15" s="48">
        <f t="shared" si="3"/>
        <v>1.21431</v>
      </c>
      <c r="O15" s="48">
        <f>'3 ROLL'!$F$27*'3 ROLL'!$F$49*roll!N15</f>
        <v>0.18943235999999999</v>
      </c>
      <c r="P15" s="50">
        <f t="shared" si="4"/>
        <v>31990538.713719204</v>
      </c>
      <c r="Q15" s="106"/>
      <c r="R15" s="48">
        <f t="shared" si="5"/>
        <v>1.21431</v>
      </c>
      <c r="S15" s="48">
        <f>'3 ROLL'!$F$30*'3 ROLL'!$F$49*roll!R15</f>
        <v>0.12628824000000002</v>
      </c>
      <c r="T15" s="50">
        <f t="shared" si="6"/>
        <v>3199.0538713719211</v>
      </c>
      <c r="U15" s="106"/>
      <c r="V15" s="48">
        <f t="shared" si="7"/>
        <v>1.21431</v>
      </c>
      <c r="W15" s="48">
        <f>'3 ROLL'!$F$33*'3 ROLL'!$F$50*roll!V15</f>
        <v>0</v>
      </c>
      <c r="X15" s="50">
        <f t="shared" si="8"/>
        <v>0</v>
      </c>
    </row>
    <row r="16" spans="2:24" ht="14.5" customHeight="1" x14ac:dyDescent="0.35">
      <c r="B16" s="91">
        <f t="shared" si="1"/>
        <v>12</v>
      </c>
      <c r="C16" s="49">
        <f>IF(B16&lt;='3 ROLL'!$F$41,'3 ROLL'!$F$37+B15*'3 ROLL'!$F$38,
IF(B16&lt;=2*'3 ROLL'!$F$41,'3 ROLL'!$F$37+ (B15-'3 ROLL'!$F$41) *'3 ROLL'!$F$38,
IF(B16&lt;=3*'3 ROLL'!$F$41,'3 ROLL'!$F$37+ (B15-2*'3 ROLL'!$F$41) *'3 ROLL'!$F$38,
IF(B16&lt;=4*'3 ROLL'!$F$41,'3 ROLL'!$F$37+ (B15-3*'3 ROLL'!$F$41) *'3 ROLL'!$F$38,
IF(B16&lt;=5*'3 ROLL'!$F$41,'3 ROLL'!$F$37+ (B15-4*'3 ROLL'!$F$41) *'3 ROLL'!$F$38,
IF(B16&lt;=6*'3 ROLL'!$F$41,'3 ROLL'!$F$37+ (B15-5*'3 ROLL'!$F$41) *'3 ROLL'!$F$38,
IF(B16&lt;=7*'3 ROLL'!$F$41,'3 ROLL'!$F$37+ (B15-6*'3 ROLL'!$F$41) *'3 ROLL'!$F$38,
IF(B16&lt;=8*'3 ROLL'!$F$41,'3 ROLL'!$F$37+ (B15-7*'3 ROLL'!$F$41) *'3 ROLL'!$F$38,
IF(B16&lt;=9*'3 ROLL'!$F$41,'3 ROLL'!$F$37+ (B15-8*'3 ROLL'!$F$41) *'3 ROLL'!$F$38,
IF(B16&lt;=10*'3 ROLL'!$F$41,'3 ROLL'!$F$37+ (B15-9*'3 ROLL'!$F$41) *'3 ROLL'!$F$38,
IF(B16&lt;=11*'3 ROLL'!$F$41,'3 ROLL'!$F$37+ (B15-10*'3 ROLL'!$F$41) *'3 ROLL'!$F$38,
IF(B16&lt;=12*'3 ROLL'!$F$41,'3 ROLL'!$F$37+ (B15-11*'3 ROLL'!$F$41) *'3 ROLL'!$F$38,
IF(B16&lt;=13*'3 ROLL'!$F$41,'3 ROLL'!$F$37+ (B15-12*'3 ROLL'!$F$41) *'3 ROLL'!$F$38,
IF(B16&lt;=14*'3 ROLL'!$F$41,'3 ROLL'!$F$37+ (B15-13*'3 ROLL'!$F$41) *'3 ROLL'!$F$38,
IF(B16&lt;=15*'3 ROLL'!$F$41,'3 ROLL'!$F$37+ (B15-14*'3 ROLL'!$F$41) *'3 ROLL'!$F$38,
IF(B16&lt;=16*'3 ROLL'!$F$41,'3 ROLL'!$F$37+ (B15-15*'3 ROLL'!$F$41) *'3 ROLL'!$F$38,
IF(B16&lt;=17*'3 ROLL'!$F$41,'3 ROLL'!$F$37+ (B15-16*'3 ROLL'!$F$41) *'3 ROLL'!$F$38,
IF(B16&lt;=18*'3 ROLL'!$F$41,'3 ROLL'!$F$37+ (B15-17*'3 ROLL'!$F$41) *'3 ROLL'!$F$38,
IF(B16&lt;=19*'3 ROLL'!$F$41,'3 ROLL'!$F$37+ (B15-18*'3 ROLL'!$F$41) *'3 ROLL'!$F$38,
IF(B16&lt;=20*'3 ROLL'!$F$41,'3 ROLL'!$F$37+ (B15-19*'3 ROLL'!$F$41) *'3 ROLL'!$F$38, ""
) ) ) ) ) ) ) ) ) ) ) ) ) ) ) ) ) ) ) )</f>
        <v>3.1</v>
      </c>
      <c r="D16" s="105"/>
      <c r="E16" s="111">
        <f>'3 ROLL'!$F$11*'3 ROLL'!$F$9*( ((1+'3 ROLL'!$F$12)^roll!B16 - 1) /'3 ROLL'!$F$12)</f>
        <v>9258227.199633792</v>
      </c>
      <c r="F16" s="111">
        <f>'3 ROLL'!$F$14*'3 ROLL'!$F$9*( ((1+'3 ROLL'!$F$15)^roll!B16 - 1) /'3 ROLL'!$F$15)</f>
        <v>185164543.99267587</v>
      </c>
      <c r="G16" s="111">
        <f>'3 ROLL'!$F$17*'3 ROLL'!$F$9*( ((1+'3 ROLL'!$F$18)^roll!B16 - 1) /'3 ROLL'!$F$18)</f>
        <v>27774.681598901378</v>
      </c>
      <c r="H16" s="111">
        <f>'3 ROLL'!$F$20*'3 ROLL'!$F$9*( ((1+'3 ROLL'!$F$21)^roll!B16 - 1) /'3 ROLL'!$F$21)</f>
        <v>18516.454399267586</v>
      </c>
      <c r="I16" s="109"/>
      <c r="J16" s="48">
        <f t="shared" si="0"/>
        <v>1.0200529999999999</v>
      </c>
      <c r="K16" s="48">
        <f>'3 ROLL'!$F$24*'3 ROLL'!$F$48*roll!J16</f>
        <v>0.66303444999999994</v>
      </c>
      <c r="L16" s="50">
        <f t="shared" si="2"/>
        <v>6138523.5792842312</v>
      </c>
      <c r="M16" s="108"/>
      <c r="N16" s="48">
        <f t="shared" si="3"/>
        <v>1.221687</v>
      </c>
      <c r="O16" s="48">
        <f>'3 ROLL'!$F$27*'3 ROLL'!$F$49*roll!N16</f>
        <v>0.190583172</v>
      </c>
      <c r="P16" s="50">
        <f t="shared" si="4"/>
        <v>35289246.136057712</v>
      </c>
      <c r="Q16" s="106"/>
      <c r="R16" s="48">
        <f t="shared" si="5"/>
        <v>1.221687</v>
      </c>
      <c r="S16" s="48">
        <f>'3 ROLL'!$F$30*'3 ROLL'!$F$49*roll!R16</f>
        <v>0.12705544800000002</v>
      </c>
      <c r="T16" s="50">
        <f t="shared" si="6"/>
        <v>3528.9246136057714</v>
      </c>
      <c r="U16" s="106"/>
      <c r="V16" s="48">
        <f t="shared" si="7"/>
        <v>1.221687</v>
      </c>
      <c r="W16" s="48">
        <f>'3 ROLL'!$F$33*'3 ROLL'!$F$50*roll!V16</f>
        <v>0</v>
      </c>
      <c r="X16" s="50">
        <f t="shared" si="8"/>
        <v>0</v>
      </c>
    </row>
    <row r="17" spans="2:24" ht="14.5" customHeight="1" x14ac:dyDescent="0.35">
      <c r="B17" s="91">
        <f t="shared" si="1"/>
        <v>13</v>
      </c>
      <c r="C17" s="49">
        <f>IF(B17&lt;='3 ROLL'!$F$41,'3 ROLL'!$F$37+B16*'3 ROLL'!$F$38,
IF(B17&lt;=2*'3 ROLL'!$F$41,'3 ROLL'!$F$37+ (B16-'3 ROLL'!$F$41) *'3 ROLL'!$F$38,
IF(B17&lt;=3*'3 ROLL'!$F$41,'3 ROLL'!$F$37+ (B16-2*'3 ROLL'!$F$41) *'3 ROLL'!$F$38,
IF(B17&lt;=4*'3 ROLL'!$F$41,'3 ROLL'!$F$37+ (B16-3*'3 ROLL'!$F$41) *'3 ROLL'!$F$38,
IF(B17&lt;=5*'3 ROLL'!$F$41,'3 ROLL'!$F$37+ (B16-4*'3 ROLL'!$F$41) *'3 ROLL'!$F$38,
IF(B17&lt;=6*'3 ROLL'!$F$41,'3 ROLL'!$F$37+ (B16-5*'3 ROLL'!$F$41) *'3 ROLL'!$F$38,
IF(B17&lt;=7*'3 ROLL'!$F$41,'3 ROLL'!$F$37+ (B16-6*'3 ROLL'!$F$41) *'3 ROLL'!$F$38,
IF(B17&lt;=8*'3 ROLL'!$F$41,'3 ROLL'!$F$37+ (B16-7*'3 ROLL'!$F$41) *'3 ROLL'!$F$38,
IF(B17&lt;=9*'3 ROLL'!$F$41,'3 ROLL'!$F$37+ (B16-8*'3 ROLL'!$F$41) *'3 ROLL'!$F$38,
IF(B17&lt;=10*'3 ROLL'!$F$41,'3 ROLL'!$F$37+ (B16-9*'3 ROLL'!$F$41) *'3 ROLL'!$F$38,
IF(B17&lt;=11*'3 ROLL'!$F$41,'3 ROLL'!$F$37+ (B16-10*'3 ROLL'!$F$41) *'3 ROLL'!$F$38,
IF(B17&lt;=12*'3 ROLL'!$F$41,'3 ROLL'!$F$37+ (B16-11*'3 ROLL'!$F$41) *'3 ROLL'!$F$38,
IF(B17&lt;=13*'3 ROLL'!$F$41,'3 ROLL'!$F$37+ (B16-12*'3 ROLL'!$F$41) *'3 ROLL'!$F$38,
IF(B17&lt;=14*'3 ROLL'!$F$41,'3 ROLL'!$F$37+ (B16-13*'3 ROLL'!$F$41) *'3 ROLL'!$F$38,
IF(B17&lt;=15*'3 ROLL'!$F$41,'3 ROLL'!$F$37+ (B16-14*'3 ROLL'!$F$41) *'3 ROLL'!$F$38,
IF(B17&lt;=16*'3 ROLL'!$F$41,'3 ROLL'!$F$37+ (B16-15*'3 ROLL'!$F$41) *'3 ROLL'!$F$38,
IF(B17&lt;=17*'3 ROLL'!$F$41,'3 ROLL'!$F$37+ (B16-16*'3 ROLL'!$F$41) *'3 ROLL'!$F$38,
IF(B17&lt;=18*'3 ROLL'!$F$41,'3 ROLL'!$F$37+ (B16-17*'3 ROLL'!$F$41) *'3 ROLL'!$F$38,
IF(B17&lt;=19*'3 ROLL'!$F$41,'3 ROLL'!$F$37+ (B16-18*'3 ROLL'!$F$41) *'3 ROLL'!$F$38,
IF(B17&lt;=20*'3 ROLL'!$F$41,'3 ROLL'!$F$37+ (B16-19*'3 ROLL'!$F$41) *'3 ROLL'!$F$38, ""
) ) ) ) ) ) ) ) ) ) ) ) ) ) ) ) ) ) ) )</f>
        <v>3.2</v>
      </c>
      <c r="D17" s="105"/>
      <c r="E17" s="111">
        <f>'3 ROLL'!$F$11*'3 ROLL'!$F$9*( ((1+'3 ROLL'!$F$12)^roll!B17 - 1) /'3 ROLL'!$F$12)</f>
        <v>10080809.471630134</v>
      </c>
      <c r="F17" s="111">
        <f>'3 ROLL'!$F$14*'3 ROLL'!$F$9*( ((1+'3 ROLL'!$F$15)^roll!B17 - 1) /'3 ROLL'!$F$15)</f>
        <v>201616189.43260267</v>
      </c>
      <c r="G17" s="111">
        <f>'3 ROLL'!$F$17*'3 ROLL'!$F$9*( ((1+'3 ROLL'!$F$18)^roll!B17 - 1) /'3 ROLL'!$F$18)</f>
        <v>30242.428414890401</v>
      </c>
      <c r="H17" s="111">
        <f>'3 ROLL'!$F$20*'3 ROLL'!$F$9*( ((1+'3 ROLL'!$F$21)^roll!B17 - 1) /'3 ROLL'!$F$21)</f>
        <v>20161.618943260266</v>
      </c>
      <c r="I17" s="109"/>
      <c r="J17" s="48">
        <f t="shared" si="0"/>
        <v>1.022216</v>
      </c>
      <c r="K17" s="48">
        <f>'3 ROLL'!$F$24*'3 ROLL'!$F$48*roll!J17</f>
        <v>0.66444040000000004</v>
      </c>
      <c r="L17" s="50">
        <f t="shared" si="2"/>
        <v>6698097.0776537154</v>
      </c>
      <c r="M17" s="108"/>
      <c r="N17" s="48">
        <f t="shared" si="3"/>
        <v>1.2290639999999999</v>
      </c>
      <c r="O17" s="48">
        <f>'3 ROLL'!$F$27*'3 ROLL'!$F$49*roll!N17</f>
        <v>0.191733984</v>
      </c>
      <c r="P17" s="50">
        <f t="shared" si="4"/>
        <v>38656675.238811612</v>
      </c>
      <c r="Q17" s="106"/>
      <c r="R17" s="48">
        <f t="shared" si="5"/>
        <v>1.2290639999999999</v>
      </c>
      <c r="S17" s="48">
        <f>'3 ROLL'!$F$30*'3 ROLL'!$F$49*roll!R17</f>
        <v>0.12782265600000001</v>
      </c>
      <c r="T17" s="50">
        <f t="shared" si="6"/>
        <v>3865.6675238811613</v>
      </c>
      <c r="U17" s="106"/>
      <c r="V17" s="48">
        <f t="shared" si="7"/>
        <v>1.2290639999999999</v>
      </c>
      <c r="W17" s="48">
        <f>'3 ROLL'!$F$33*'3 ROLL'!$F$50*roll!V17</f>
        <v>0</v>
      </c>
      <c r="X17" s="50">
        <f t="shared" si="8"/>
        <v>0</v>
      </c>
    </row>
    <row r="18" spans="2:24" ht="14.5" customHeight="1" x14ac:dyDescent="0.35">
      <c r="B18" s="91">
        <f t="shared" si="1"/>
        <v>14</v>
      </c>
      <c r="C18" s="49">
        <f>IF(B18&lt;='3 ROLL'!$F$41,'3 ROLL'!$F$37+B17*'3 ROLL'!$F$38,
IF(B18&lt;=2*'3 ROLL'!$F$41,'3 ROLL'!$F$37+ (B17-'3 ROLL'!$F$41) *'3 ROLL'!$F$38,
IF(B18&lt;=3*'3 ROLL'!$F$41,'3 ROLL'!$F$37+ (B17-2*'3 ROLL'!$F$41) *'3 ROLL'!$F$38,
IF(B18&lt;=4*'3 ROLL'!$F$41,'3 ROLL'!$F$37+ (B17-3*'3 ROLL'!$F$41) *'3 ROLL'!$F$38,
IF(B18&lt;=5*'3 ROLL'!$F$41,'3 ROLL'!$F$37+ (B17-4*'3 ROLL'!$F$41) *'3 ROLL'!$F$38,
IF(B18&lt;=6*'3 ROLL'!$F$41,'3 ROLL'!$F$37+ (B17-5*'3 ROLL'!$F$41) *'3 ROLL'!$F$38,
IF(B18&lt;=7*'3 ROLL'!$F$41,'3 ROLL'!$F$37+ (B17-6*'3 ROLL'!$F$41) *'3 ROLL'!$F$38,
IF(B18&lt;=8*'3 ROLL'!$F$41,'3 ROLL'!$F$37+ (B17-7*'3 ROLL'!$F$41) *'3 ROLL'!$F$38,
IF(B18&lt;=9*'3 ROLL'!$F$41,'3 ROLL'!$F$37+ (B17-8*'3 ROLL'!$F$41) *'3 ROLL'!$F$38,
IF(B18&lt;=10*'3 ROLL'!$F$41,'3 ROLL'!$F$37+ (B17-9*'3 ROLL'!$F$41) *'3 ROLL'!$F$38,
IF(B18&lt;=11*'3 ROLL'!$F$41,'3 ROLL'!$F$37+ (B17-10*'3 ROLL'!$F$41) *'3 ROLL'!$F$38,
IF(B18&lt;=12*'3 ROLL'!$F$41,'3 ROLL'!$F$37+ (B17-11*'3 ROLL'!$F$41) *'3 ROLL'!$F$38,
IF(B18&lt;=13*'3 ROLL'!$F$41,'3 ROLL'!$F$37+ (B17-12*'3 ROLL'!$F$41) *'3 ROLL'!$F$38,
IF(B18&lt;=14*'3 ROLL'!$F$41,'3 ROLL'!$F$37+ (B17-13*'3 ROLL'!$F$41) *'3 ROLL'!$F$38,
IF(B18&lt;=15*'3 ROLL'!$F$41,'3 ROLL'!$F$37+ (B17-14*'3 ROLL'!$F$41) *'3 ROLL'!$F$38,
IF(B18&lt;=16*'3 ROLL'!$F$41,'3 ROLL'!$F$37+ (B17-15*'3 ROLL'!$F$41) *'3 ROLL'!$F$38,
IF(B18&lt;=17*'3 ROLL'!$F$41,'3 ROLL'!$F$37+ (B17-16*'3 ROLL'!$F$41) *'3 ROLL'!$F$38,
IF(B18&lt;=18*'3 ROLL'!$F$41,'3 ROLL'!$F$37+ (B17-17*'3 ROLL'!$F$41) *'3 ROLL'!$F$38,
IF(B18&lt;=19*'3 ROLL'!$F$41,'3 ROLL'!$F$37+ (B17-18*'3 ROLL'!$F$41) *'3 ROLL'!$F$38,
IF(B18&lt;=20*'3 ROLL'!$F$41,'3 ROLL'!$F$37+ (B17-19*'3 ROLL'!$F$41) *'3 ROLL'!$F$38, ""
) ) ) ) ) ) ) ) ) ) ) ) ) ) ) ) ) ) ) )</f>
        <v>3.3</v>
      </c>
      <c r="D18" s="105"/>
      <c r="E18" s="111">
        <f>'3 ROLL'!$F$11*'3 ROLL'!$F$9*( ((1+'3 ROLL'!$F$12)^roll!B18 - 1) /'3 ROLL'!$F$12)</f>
        <v>10911617.566346446</v>
      </c>
      <c r="F18" s="111">
        <f>'3 ROLL'!$F$14*'3 ROLL'!$F$9*( ((1+'3 ROLL'!$F$15)^roll!B18 - 1) /'3 ROLL'!$F$15)</f>
        <v>218232351.32692891</v>
      </c>
      <c r="G18" s="111">
        <f>'3 ROLL'!$F$17*'3 ROLL'!$F$9*( ((1+'3 ROLL'!$F$18)^roll!B18 - 1) /'3 ROLL'!$F$18)</f>
        <v>32734.852699039337</v>
      </c>
      <c r="H18" s="111">
        <f>'3 ROLL'!$F$20*'3 ROLL'!$F$9*( ((1+'3 ROLL'!$F$21)^roll!B18 - 1) /'3 ROLL'!$F$21)</f>
        <v>21823.235132692891</v>
      </c>
      <c r="I18" s="109"/>
      <c r="J18" s="48">
        <f t="shared" si="0"/>
        <v>1.0243789999999999</v>
      </c>
      <c r="K18" s="48">
        <f>'3 ROLL'!$F$24*'3 ROLL'!$F$48*roll!J18</f>
        <v>0.66584635000000003</v>
      </c>
      <c r="L18" s="50">
        <f t="shared" si="2"/>
        <v>7265460.7291476643</v>
      </c>
      <c r="M18" s="108"/>
      <c r="N18" s="48">
        <f t="shared" si="3"/>
        <v>1.2364409999999999</v>
      </c>
      <c r="O18" s="48">
        <f>'3 ROLL'!$F$27*'3 ROLL'!$F$49*roll!N18</f>
        <v>0.192884796</v>
      </c>
      <c r="P18" s="50">
        <f t="shared" si="4"/>
        <v>42093702.566295013</v>
      </c>
      <c r="Q18" s="106"/>
      <c r="R18" s="48">
        <f t="shared" si="5"/>
        <v>1.2364409999999999</v>
      </c>
      <c r="S18" s="48">
        <f>'3 ROLL'!$F$30*'3 ROLL'!$F$49*roll!R18</f>
        <v>0.128589864</v>
      </c>
      <c r="T18" s="50">
        <f t="shared" si="6"/>
        <v>4209.3702566295015</v>
      </c>
      <c r="U18" s="106"/>
      <c r="V18" s="48">
        <f t="shared" si="7"/>
        <v>1.2364409999999999</v>
      </c>
      <c r="W18" s="48">
        <f>'3 ROLL'!$F$33*'3 ROLL'!$F$50*roll!V18</f>
        <v>0</v>
      </c>
      <c r="X18" s="50">
        <f t="shared" si="8"/>
        <v>0</v>
      </c>
    </row>
    <row r="19" spans="2:24" ht="14.5" customHeight="1" x14ac:dyDescent="0.35">
      <c r="B19" s="91">
        <f t="shared" si="1"/>
        <v>15</v>
      </c>
      <c r="C19" s="49">
        <f>IF(B19&lt;='3 ROLL'!$F$41,'3 ROLL'!$F$37+B18*'3 ROLL'!$F$38,
IF(B19&lt;=2*'3 ROLL'!$F$41,'3 ROLL'!$F$37+ (B18-'3 ROLL'!$F$41) *'3 ROLL'!$F$38,
IF(B19&lt;=3*'3 ROLL'!$F$41,'3 ROLL'!$F$37+ (B18-2*'3 ROLL'!$F$41) *'3 ROLL'!$F$38,
IF(B19&lt;=4*'3 ROLL'!$F$41,'3 ROLL'!$F$37+ (B18-3*'3 ROLL'!$F$41) *'3 ROLL'!$F$38,
IF(B19&lt;=5*'3 ROLL'!$F$41,'3 ROLL'!$F$37+ (B18-4*'3 ROLL'!$F$41) *'3 ROLL'!$F$38,
IF(B19&lt;=6*'3 ROLL'!$F$41,'3 ROLL'!$F$37+ (B18-5*'3 ROLL'!$F$41) *'3 ROLL'!$F$38,
IF(B19&lt;=7*'3 ROLL'!$F$41,'3 ROLL'!$F$37+ (B18-6*'3 ROLL'!$F$41) *'3 ROLL'!$F$38,
IF(B19&lt;=8*'3 ROLL'!$F$41,'3 ROLL'!$F$37+ (B18-7*'3 ROLL'!$F$41) *'3 ROLL'!$F$38,
IF(B19&lt;=9*'3 ROLL'!$F$41,'3 ROLL'!$F$37+ (B18-8*'3 ROLL'!$F$41) *'3 ROLL'!$F$38,
IF(B19&lt;=10*'3 ROLL'!$F$41,'3 ROLL'!$F$37+ (B18-9*'3 ROLL'!$F$41) *'3 ROLL'!$F$38,
IF(B19&lt;=11*'3 ROLL'!$F$41,'3 ROLL'!$F$37+ (B18-10*'3 ROLL'!$F$41) *'3 ROLL'!$F$38,
IF(B19&lt;=12*'3 ROLL'!$F$41,'3 ROLL'!$F$37+ (B18-11*'3 ROLL'!$F$41) *'3 ROLL'!$F$38,
IF(B19&lt;=13*'3 ROLL'!$F$41,'3 ROLL'!$F$37+ (B18-12*'3 ROLL'!$F$41) *'3 ROLL'!$F$38,
IF(B19&lt;=14*'3 ROLL'!$F$41,'3 ROLL'!$F$37+ (B18-13*'3 ROLL'!$F$41) *'3 ROLL'!$F$38,
IF(B19&lt;=15*'3 ROLL'!$F$41,'3 ROLL'!$F$37+ (B18-14*'3 ROLL'!$F$41) *'3 ROLL'!$F$38,
IF(B19&lt;=16*'3 ROLL'!$F$41,'3 ROLL'!$F$37+ (B18-15*'3 ROLL'!$F$41) *'3 ROLL'!$F$38,
IF(B19&lt;=17*'3 ROLL'!$F$41,'3 ROLL'!$F$37+ (B18-16*'3 ROLL'!$F$41) *'3 ROLL'!$F$38,
IF(B19&lt;=18*'3 ROLL'!$F$41,'3 ROLL'!$F$37+ (B18-17*'3 ROLL'!$F$41) *'3 ROLL'!$F$38,
IF(B19&lt;=19*'3 ROLL'!$F$41,'3 ROLL'!$F$37+ (B18-18*'3 ROLL'!$F$41) *'3 ROLL'!$F$38,
IF(B19&lt;=20*'3 ROLL'!$F$41,'3 ROLL'!$F$37+ (B18-19*'3 ROLL'!$F$41) *'3 ROLL'!$F$38, ""
) ) ) ) ) ) ) ) ) ) ) ) ) ) ) ) ) ) ) )</f>
        <v>3.4000000000000004</v>
      </c>
      <c r="D19" s="105"/>
      <c r="E19" s="111">
        <f>'3 ROLL'!$F$11*'3 ROLL'!$F$9*( ((1+'3 ROLL'!$F$12)^roll!B19 - 1) /'3 ROLL'!$F$12)</f>
        <v>11750733.742009887</v>
      </c>
      <c r="F19" s="111">
        <f>'3 ROLL'!$F$14*'3 ROLL'!$F$9*( ((1+'3 ROLL'!$F$15)^roll!B19 - 1) /'3 ROLL'!$F$15)</f>
        <v>235014674.84019774</v>
      </c>
      <c r="G19" s="111">
        <f>'3 ROLL'!$F$17*'3 ROLL'!$F$9*( ((1+'3 ROLL'!$F$18)^roll!B19 - 1) /'3 ROLL'!$F$18)</f>
        <v>35252.201226029661</v>
      </c>
      <c r="H19" s="111">
        <f>'3 ROLL'!$F$20*'3 ROLL'!$F$9*( ((1+'3 ROLL'!$F$21)^roll!B19 - 1) /'3 ROLL'!$F$21)</f>
        <v>23501.467484019773</v>
      </c>
      <c r="I19" s="109"/>
      <c r="J19" s="48">
        <f t="shared" si="0"/>
        <v>1.0265420000000001</v>
      </c>
      <c r="K19" s="48">
        <f>'3 ROLL'!$F$24*'3 ROLL'!$F$48*roll!J19</f>
        <v>0.66725230000000002</v>
      </c>
      <c r="L19" s="50">
        <f t="shared" si="2"/>
        <v>7840704.1160437046</v>
      </c>
      <c r="M19" s="108"/>
      <c r="N19" s="48">
        <f t="shared" si="3"/>
        <v>1.2438180000000001</v>
      </c>
      <c r="O19" s="48">
        <f>'3 ROLL'!$F$27*'3 ROLL'!$F$49*roll!N19</f>
        <v>0.19403560800000003</v>
      </c>
      <c r="P19" s="50">
        <f t="shared" si="4"/>
        <v>45601215.32154008</v>
      </c>
      <c r="Q19" s="106"/>
      <c r="R19" s="48">
        <f t="shared" si="5"/>
        <v>1.2438180000000001</v>
      </c>
      <c r="S19" s="48">
        <f>'3 ROLL'!$F$30*'3 ROLL'!$F$49*roll!R19</f>
        <v>0.12935707200000002</v>
      </c>
      <c r="T19" s="50">
        <f t="shared" si="6"/>
        <v>4560.1215321540076</v>
      </c>
      <c r="U19" s="106"/>
      <c r="V19" s="48">
        <f t="shared" si="7"/>
        <v>1.2438180000000001</v>
      </c>
      <c r="W19" s="48">
        <f>'3 ROLL'!$F$33*'3 ROLL'!$F$50*roll!V19</f>
        <v>0</v>
      </c>
      <c r="X19" s="50">
        <f t="shared" si="8"/>
        <v>0</v>
      </c>
    </row>
    <row r="20" spans="2:24" ht="14.5" customHeight="1" x14ac:dyDescent="0.35">
      <c r="B20" s="91">
        <f t="shared" si="1"/>
        <v>16</v>
      </c>
      <c r="C20" s="49">
        <f>IF(B20&lt;='3 ROLL'!$F$41,'3 ROLL'!$F$37+B19*'3 ROLL'!$F$38,
IF(B20&lt;=2*'3 ROLL'!$F$41,'3 ROLL'!$F$37+ (B19-'3 ROLL'!$F$41) *'3 ROLL'!$F$38,
IF(B20&lt;=3*'3 ROLL'!$F$41,'3 ROLL'!$F$37+ (B19-2*'3 ROLL'!$F$41) *'3 ROLL'!$F$38,
IF(B20&lt;=4*'3 ROLL'!$F$41,'3 ROLL'!$F$37+ (B19-3*'3 ROLL'!$F$41) *'3 ROLL'!$F$38,
IF(B20&lt;=5*'3 ROLL'!$F$41,'3 ROLL'!$F$37+ (B19-4*'3 ROLL'!$F$41) *'3 ROLL'!$F$38,
IF(B20&lt;=6*'3 ROLL'!$F$41,'3 ROLL'!$F$37+ (B19-5*'3 ROLL'!$F$41) *'3 ROLL'!$F$38,
IF(B20&lt;=7*'3 ROLL'!$F$41,'3 ROLL'!$F$37+ (B19-6*'3 ROLL'!$F$41) *'3 ROLL'!$F$38,
IF(B20&lt;=8*'3 ROLL'!$F$41,'3 ROLL'!$F$37+ (B19-7*'3 ROLL'!$F$41) *'3 ROLL'!$F$38,
IF(B20&lt;=9*'3 ROLL'!$F$41,'3 ROLL'!$F$37+ (B19-8*'3 ROLL'!$F$41) *'3 ROLL'!$F$38,
IF(B20&lt;=10*'3 ROLL'!$F$41,'3 ROLL'!$F$37+ (B19-9*'3 ROLL'!$F$41) *'3 ROLL'!$F$38,
IF(B20&lt;=11*'3 ROLL'!$F$41,'3 ROLL'!$F$37+ (B19-10*'3 ROLL'!$F$41) *'3 ROLL'!$F$38,
IF(B20&lt;=12*'3 ROLL'!$F$41,'3 ROLL'!$F$37+ (B19-11*'3 ROLL'!$F$41) *'3 ROLL'!$F$38,
IF(B20&lt;=13*'3 ROLL'!$F$41,'3 ROLL'!$F$37+ (B19-12*'3 ROLL'!$F$41) *'3 ROLL'!$F$38,
IF(B20&lt;=14*'3 ROLL'!$F$41,'3 ROLL'!$F$37+ (B19-13*'3 ROLL'!$F$41) *'3 ROLL'!$F$38,
IF(B20&lt;=15*'3 ROLL'!$F$41,'3 ROLL'!$F$37+ (B19-14*'3 ROLL'!$F$41) *'3 ROLL'!$F$38,
IF(B20&lt;=16*'3 ROLL'!$F$41,'3 ROLL'!$F$37+ (B19-15*'3 ROLL'!$F$41) *'3 ROLL'!$F$38,
IF(B20&lt;=17*'3 ROLL'!$F$41,'3 ROLL'!$F$37+ (B19-16*'3 ROLL'!$F$41) *'3 ROLL'!$F$38,
IF(B20&lt;=18*'3 ROLL'!$F$41,'3 ROLL'!$F$37+ (B19-17*'3 ROLL'!$F$41) *'3 ROLL'!$F$38,
IF(B20&lt;=19*'3 ROLL'!$F$41,'3 ROLL'!$F$37+ (B19-18*'3 ROLL'!$F$41) *'3 ROLL'!$F$38,
IF(B20&lt;=20*'3 ROLL'!$F$41,'3 ROLL'!$F$37+ (B19-19*'3 ROLL'!$F$41) *'3 ROLL'!$F$38, ""
) ) ) ) ) ) ) ) ) ) ) ) ) ) ) ) ) ) ) )</f>
        <v>3.5</v>
      </c>
      <c r="D20" s="105"/>
      <c r="E20" s="111">
        <f>'3 ROLL'!$F$11*'3 ROLL'!$F$9*( ((1+'3 ROLL'!$F$12)^roll!B20 - 1) /'3 ROLL'!$F$12)</f>
        <v>12598241.079430012</v>
      </c>
      <c r="F20" s="111">
        <f>'3 ROLL'!$F$14*'3 ROLL'!$F$9*( ((1+'3 ROLL'!$F$15)^roll!B20 - 1) /'3 ROLL'!$F$15)</f>
        <v>251964821.58860025</v>
      </c>
      <c r="G20" s="111">
        <f>'3 ROLL'!$F$17*'3 ROLL'!$F$9*( ((1+'3 ROLL'!$F$18)^roll!B20 - 1) /'3 ROLL'!$F$18)</f>
        <v>37794.723238290033</v>
      </c>
      <c r="H20" s="111">
        <f>'3 ROLL'!$F$20*'3 ROLL'!$F$9*( ((1+'3 ROLL'!$F$21)^roll!B20 - 1) /'3 ROLL'!$F$21)</f>
        <v>25196.482158860024</v>
      </c>
      <c r="I20" s="109"/>
      <c r="J20" s="48">
        <f t="shared" si="0"/>
        <v>1.028705</v>
      </c>
      <c r="K20" s="48">
        <f>'3 ROLL'!$F$24*'3 ROLL'!$F$48*roll!J20</f>
        <v>0.66865825000000001</v>
      </c>
      <c r="L20" s="50">
        <f t="shared" si="2"/>
        <v>8423917.8332497831</v>
      </c>
      <c r="M20" s="108"/>
      <c r="N20" s="48">
        <f t="shared" si="3"/>
        <v>1.2511950000000001</v>
      </c>
      <c r="O20" s="48">
        <f>'3 ROLL'!$F$27*'3 ROLL'!$F$49*roll!N20</f>
        <v>0.19518642</v>
      </c>
      <c r="P20" s="50">
        <f t="shared" si="4"/>
        <v>49180111.491817594</v>
      </c>
      <c r="Q20" s="106"/>
      <c r="R20" s="48">
        <f t="shared" si="5"/>
        <v>1.2511950000000001</v>
      </c>
      <c r="S20" s="48">
        <f>'3 ROLL'!$F$30*'3 ROLL'!$F$49*roll!R20</f>
        <v>0.13012428000000001</v>
      </c>
      <c r="T20" s="50">
        <f t="shared" si="6"/>
        <v>4918.0111491817597</v>
      </c>
      <c r="U20" s="106"/>
      <c r="V20" s="48">
        <f t="shared" si="7"/>
        <v>1.2511950000000001</v>
      </c>
      <c r="W20" s="48">
        <f>'3 ROLL'!$F$33*'3 ROLL'!$F$50*roll!V20</f>
        <v>0</v>
      </c>
      <c r="X20" s="50">
        <f t="shared" si="8"/>
        <v>0</v>
      </c>
    </row>
    <row r="21" spans="2:24" ht="14.5" customHeight="1" x14ac:dyDescent="0.35">
      <c r="B21" s="91">
        <f t="shared" si="1"/>
        <v>17</v>
      </c>
      <c r="C21" s="49">
        <f>IF(B21&lt;='3 ROLL'!$F$41,'3 ROLL'!$F$37+B20*'3 ROLL'!$F$38,
IF(B21&lt;=2*'3 ROLL'!$F$41,'3 ROLL'!$F$37+ (B20-'3 ROLL'!$F$41) *'3 ROLL'!$F$38,
IF(B21&lt;=3*'3 ROLL'!$F$41,'3 ROLL'!$F$37+ (B20-2*'3 ROLL'!$F$41) *'3 ROLL'!$F$38,
IF(B21&lt;=4*'3 ROLL'!$F$41,'3 ROLL'!$F$37+ (B20-3*'3 ROLL'!$F$41) *'3 ROLL'!$F$38,
IF(B21&lt;=5*'3 ROLL'!$F$41,'3 ROLL'!$F$37+ (B20-4*'3 ROLL'!$F$41) *'3 ROLL'!$F$38,
IF(B21&lt;=6*'3 ROLL'!$F$41,'3 ROLL'!$F$37+ (B20-5*'3 ROLL'!$F$41) *'3 ROLL'!$F$38,
IF(B21&lt;=7*'3 ROLL'!$F$41,'3 ROLL'!$F$37+ (B20-6*'3 ROLL'!$F$41) *'3 ROLL'!$F$38,
IF(B21&lt;=8*'3 ROLL'!$F$41,'3 ROLL'!$F$37+ (B20-7*'3 ROLL'!$F$41) *'3 ROLL'!$F$38,
IF(B21&lt;=9*'3 ROLL'!$F$41,'3 ROLL'!$F$37+ (B20-8*'3 ROLL'!$F$41) *'3 ROLL'!$F$38,
IF(B21&lt;=10*'3 ROLL'!$F$41,'3 ROLL'!$F$37+ (B20-9*'3 ROLL'!$F$41) *'3 ROLL'!$F$38,
IF(B21&lt;=11*'3 ROLL'!$F$41,'3 ROLL'!$F$37+ (B20-10*'3 ROLL'!$F$41) *'3 ROLL'!$F$38,
IF(B21&lt;=12*'3 ROLL'!$F$41,'3 ROLL'!$F$37+ (B20-11*'3 ROLL'!$F$41) *'3 ROLL'!$F$38,
IF(B21&lt;=13*'3 ROLL'!$F$41,'3 ROLL'!$F$37+ (B20-12*'3 ROLL'!$F$41) *'3 ROLL'!$F$38,
IF(B21&lt;=14*'3 ROLL'!$F$41,'3 ROLL'!$F$37+ (B20-13*'3 ROLL'!$F$41) *'3 ROLL'!$F$38,
IF(B21&lt;=15*'3 ROLL'!$F$41,'3 ROLL'!$F$37+ (B20-14*'3 ROLL'!$F$41) *'3 ROLL'!$F$38,
IF(B21&lt;=16*'3 ROLL'!$F$41,'3 ROLL'!$F$37+ (B20-15*'3 ROLL'!$F$41) *'3 ROLL'!$F$38,
IF(B21&lt;=17*'3 ROLL'!$F$41,'3 ROLL'!$F$37+ (B20-16*'3 ROLL'!$F$41) *'3 ROLL'!$F$38,
IF(B21&lt;=18*'3 ROLL'!$F$41,'3 ROLL'!$F$37+ (B20-17*'3 ROLL'!$F$41) *'3 ROLL'!$F$38,
IF(B21&lt;=19*'3 ROLL'!$F$41,'3 ROLL'!$F$37+ (B20-18*'3 ROLL'!$F$41) *'3 ROLL'!$F$38,
IF(B21&lt;=20*'3 ROLL'!$F$41,'3 ROLL'!$F$37+ (B20-19*'3 ROLL'!$F$41) *'3 ROLL'!$F$38, ""
) ) ) ) ) ) ) ) ) ) ) ) ) ) ) ) ) ) ) )</f>
        <v>3.6</v>
      </c>
      <c r="D21" s="105"/>
      <c r="E21" s="111">
        <f>'3 ROLL'!$F$11*'3 ROLL'!$F$9*( ((1+'3 ROLL'!$F$12)^roll!B21 - 1) /'3 ROLL'!$F$12)</f>
        <v>13454223.490224315</v>
      </c>
      <c r="F21" s="111">
        <f>'3 ROLL'!$F$14*'3 ROLL'!$F$9*( ((1+'3 ROLL'!$F$15)^roll!B21 - 1) /'3 ROLL'!$F$15)</f>
        <v>269084469.80448633</v>
      </c>
      <c r="G21" s="111">
        <f>'3 ROLL'!$F$17*'3 ROLL'!$F$9*( ((1+'3 ROLL'!$F$18)^roll!B21 - 1) /'3 ROLL'!$F$18)</f>
        <v>40362.670470672943</v>
      </c>
      <c r="H21" s="111">
        <f>'3 ROLL'!$F$20*'3 ROLL'!$F$9*( ((1+'3 ROLL'!$F$21)^roll!B21 - 1) /'3 ROLL'!$F$21)</f>
        <v>26908.446980448633</v>
      </c>
      <c r="I21" s="109"/>
      <c r="J21" s="48">
        <f t="shared" si="0"/>
        <v>1.0308679999999999</v>
      </c>
      <c r="K21" s="48">
        <f>'3 ROLL'!$F$24*'3 ROLL'!$F$48*roll!J21</f>
        <v>0.6700642</v>
      </c>
      <c r="L21" s="50">
        <f t="shared" si="2"/>
        <v>9015193.4995983634</v>
      </c>
      <c r="M21" s="108"/>
      <c r="N21" s="48">
        <f t="shared" si="3"/>
        <v>1.258572</v>
      </c>
      <c r="O21" s="48">
        <f>'3 ROLL'!$F$27*'3 ROLL'!$F$49*roll!N21</f>
        <v>0.196337232</v>
      </c>
      <c r="P21" s="50">
        <f t="shared" si="4"/>
        <v>52831299.975600429</v>
      </c>
      <c r="Q21" s="106"/>
      <c r="R21" s="48">
        <f t="shared" si="5"/>
        <v>1.258572</v>
      </c>
      <c r="S21" s="48">
        <f>'3 ROLL'!$F$30*'3 ROLL'!$F$49*roll!R21</f>
        <v>0.130891488</v>
      </c>
      <c r="T21" s="50">
        <f t="shared" si="6"/>
        <v>5283.1299975600423</v>
      </c>
      <c r="U21" s="106"/>
      <c r="V21" s="48">
        <f t="shared" si="7"/>
        <v>1.258572</v>
      </c>
      <c r="W21" s="48">
        <f>'3 ROLL'!$F$33*'3 ROLL'!$F$50*roll!V21</f>
        <v>0</v>
      </c>
      <c r="X21" s="50">
        <f t="shared" si="8"/>
        <v>0</v>
      </c>
    </row>
    <row r="22" spans="2:24" ht="14.5" customHeight="1" x14ac:dyDescent="0.35">
      <c r="B22" s="91">
        <f t="shared" si="1"/>
        <v>18</v>
      </c>
      <c r="C22" s="49">
        <f>IF(B22&lt;='3 ROLL'!$F$41,'3 ROLL'!$F$37+B21*'3 ROLL'!$F$38,
IF(B22&lt;=2*'3 ROLL'!$F$41,'3 ROLL'!$F$37+ (B21-'3 ROLL'!$F$41) *'3 ROLL'!$F$38,
IF(B22&lt;=3*'3 ROLL'!$F$41,'3 ROLL'!$F$37+ (B21-2*'3 ROLL'!$F$41) *'3 ROLL'!$F$38,
IF(B22&lt;=4*'3 ROLL'!$F$41,'3 ROLL'!$F$37+ (B21-3*'3 ROLL'!$F$41) *'3 ROLL'!$F$38,
IF(B22&lt;=5*'3 ROLL'!$F$41,'3 ROLL'!$F$37+ (B21-4*'3 ROLL'!$F$41) *'3 ROLL'!$F$38,
IF(B22&lt;=6*'3 ROLL'!$F$41,'3 ROLL'!$F$37+ (B21-5*'3 ROLL'!$F$41) *'3 ROLL'!$F$38,
IF(B22&lt;=7*'3 ROLL'!$F$41,'3 ROLL'!$F$37+ (B21-6*'3 ROLL'!$F$41) *'3 ROLL'!$F$38,
IF(B22&lt;=8*'3 ROLL'!$F$41,'3 ROLL'!$F$37+ (B21-7*'3 ROLL'!$F$41) *'3 ROLL'!$F$38,
IF(B22&lt;=9*'3 ROLL'!$F$41,'3 ROLL'!$F$37+ (B21-8*'3 ROLL'!$F$41) *'3 ROLL'!$F$38,
IF(B22&lt;=10*'3 ROLL'!$F$41,'3 ROLL'!$F$37+ (B21-9*'3 ROLL'!$F$41) *'3 ROLL'!$F$38,
IF(B22&lt;=11*'3 ROLL'!$F$41,'3 ROLL'!$F$37+ (B21-10*'3 ROLL'!$F$41) *'3 ROLL'!$F$38,
IF(B22&lt;=12*'3 ROLL'!$F$41,'3 ROLL'!$F$37+ (B21-11*'3 ROLL'!$F$41) *'3 ROLL'!$F$38,
IF(B22&lt;=13*'3 ROLL'!$F$41,'3 ROLL'!$F$37+ (B21-12*'3 ROLL'!$F$41) *'3 ROLL'!$F$38,
IF(B22&lt;=14*'3 ROLL'!$F$41,'3 ROLL'!$F$37+ (B21-13*'3 ROLL'!$F$41) *'3 ROLL'!$F$38,
IF(B22&lt;=15*'3 ROLL'!$F$41,'3 ROLL'!$F$37+ (B21-14*'3 ROLL'!$F$41) *'3 ROLL'!$F$38,
IF(B22&lt;=16*'3 ROLL'!$F$41,'3 ROLL'!$F$37+ (B21-15*'3 ROLL'!$F$41) *'3 ROLL'!$F$38,
IF(B22&lt;=17*'3 ROLL'!$F$41,'3 ROLL'!$F$37+ (B21-16*'3 ROLL'!$F$41) *'3 ROLL'!$F$38,
IF(B22&lt;=18*'3 ROLL'!$F$41,'3 ROLL'!$F$37+ (B21-17*'3 ROLL'!$F$41) *'3 ROLL'!$F$38,
IF(B22&lt;=19*'3 ROLL'!$F$41,'3 ROLL'!$F$37+ (B21-18*'3 ROLL'!$F$41) *'3 ROLL'!$F$38,
IF(B22&lt;=20*'3 ROLL'!$F$41,'3 ROLL'!$F$37+ (B21-19*'3 ROLL'!$F$41) *'3 ROLL'!$F$38, ""
) ) ) ) ) ) ) ) ) ) ) ) ) ) ) ) ) ) ) )</f>
        <v>3.7</v>
      </c>
      <c r="D22" s="105"/>
      <c r="E22" s="111">
        <f>'3 ROLL'!$F$11*'3 ROLL'!$F$9*( ((1+'3 ROLL'!$F$12)^roll!B22 - 1) /'3 ROLL'!$F$12)</f>
        <v>14318765.725126563</v>
      </c>
      <c r="F22" s="111">
        <f>'3 ROLL'!$F$14*'3 ROLL'!$F$9*( ((1+'3 ROLL'!$F$15)^roll!B22 - 1) /'3 ROLL'!$F$15)</f>
        <v>286375314.50253123</v>
      </c>
      <c r="G22" s="111">
        <f>'3 ROLL'!$F$17*'3 ROLL'!$F$9*( ((1+'3 ROLL'!$F$18)^roll!B22 - 1) /'3 ROLL'!$F$18)</f>
        <v>42956.297175379688</v>
      </c>
      <c r="H22" s="111">
        <f>'3 ROLL'!$F$20*'3 ROLL'!$F$9*( ((1+'3 ROLL'!$F$21)^roll!B22 - 1) /'3 ROLL'!$F$21)</f>
        <v>28637.531450253126</v>
      </c>
      <c r="I22" s="109"/>
      <c r="J22" s="48">
        <f t="shared" si="0"/>
        <v>1.033031</v>
      </c>
      <c r="K22" s="48">
        <f>'3 ROLL'!$F$24*'3 ROLL'!$F$48*roll!J22</f>
        <v>0.6714701500000001</v>
      </c>
      <c r="L22" s="50">
        <f t="shared" si="2"/>
        <v>9614623.769265594</v>
      </c>
      <c r="M22" s="108"/>
      <c r="N22" s="48">
        <f t="shared" si="3"/>
        <v>1.265949</v>
      </c>
      <c r="O22" s="48">
        <f>'3 ROLL'!$F$27*'3 ROLL'!$F$49*roll!N22</f>
        <v>0.197488044</v>
      </c>
      <c r="P22" s="50">
        <f t="shared" si="4"/>
        <v>56555700.710989729</v>
      </c>
      <c r="Q22" s="106"/>
      <c r="R22" s="48">
        <f t="shared" si="5"/>
        <v>1.265949</v>
      </c>
      <c r="S22" s="48">
        <f>'3 ROLL'!$F$30*'3 ROLL'!$F$49*roll!R22</f>
        <v>0.13165869600000002</v>
      </c>
      <c r="T22" s="50">
        <f t="shared" si="6"/>
        <v>5655.570071098974</v>
      </c>
      <c r="U22" s="106"/>
      <c r="V22" s="48">
        <f t="shared" si="7"/>
        <v>1.265949</v>
      </c>
      <c r="W22" s="48">
        <f>'3 ROLL'!$F$33*'3 ROLL'!$F$50*roll!V22</f>
        <v>0</v>
      </c>
      <c r="X22" s="50">
        <f t="shared" si="8"/>
        <v>0</v>
      </c>
    </row>
    <row r="23" spans="2:24" ht="14.5" customHeight="1" x14ac:dyDescent="0.35">
      <c r="B23" s="91">
        <f t="shared" si="1"/>
        <v>19</v>
      </c>
      <c r="C23" s="49">
        <f>IF(B23&lt;='3 ROLL'!$F$41,'3 ROLL'!$F$37+B22*'3 ROLL'!$F$38,
IF(B23&lt;=2*'3 ROLL'!$F$41,'3 ROLL'!$F$37+ (B22-'3 ROLL'!$F$41) *'3 ROLL'!$F$38,
IF(B23&lt;=3*'3 ROLL'!$F$41,'3 ROLL'!$F$37+ (B22-2*'3 ROLL'!$F$41) *'3 ROLL'!$F$38,
IF(B23&lt;=4*'3 ROLL'!$F$41,'3 ROLL'!$F$37+ (B22-3*'3 ROLL'!$F$41) *'3 ROLL'!$F$38,
IF(B23&lt;=5*'3 ROLL'!$F$41,'3 ROLL'!$F$37+ (B22-4*'3 ROLL'!$F$41) *'3 ROLL'!$F$38,
IF(B23&lt;=6*'3 ROLL'!$F$41,'3 ROLL'!$F$37+ (B22-5*'3 ROLL'!$F$41) *'3 ROLL'!$F$38,
IF(B23&lt;=7*'3 ROLL'!$F$41,'3 ROLL'!$F$37+ (B22-6*'3 ROLL'!$F$41) *'3 ROLL'!$F$38,
IF(B23&lt;=8*'3 ROLL'!$F$41,'3 ROLL'!$F$37+ (B22-7*'3 ROLL'!$F$41) *'3 ROLL'!$F$38,
IF(B23&lt;=9*'3 ROLL'!$F$41,'3 ROLL'!$F$37+ (B22-8*'3 ROLL'!$F$41) *'3 ROLL'!$F$38,
IF(B23&lt;=10*'3 ROLL'!$F$41,'3 ROLL'!$F$37+ (B22-9*'3 ROLL'!$F$41) *'3 ROLL'!$F$38,
IF(B23&lt;=11*'3 ROLL'!$F$41,'3 ROLL'!$F$37+ (B22-10*'3 ROLL'!$F$41) *'3 ROLL'!$F$38,
IF(B23&lt;=12*'3 ROLL'!$F$41,'3 ROLL'!$F$37+ (B22-11*'3 ROLL'!$F$41) *'3 ROLL'!$F$38,
IF(B23&lt;=13*'3 ROLL'!$F$41,'3 ROLL'!$F$37+ (B22-12*'3 ROLL'!$F$41) *'3 ROLL'!$F$38,
IF(B23&lt;=14*'3 ROLL'!$F$41,'3 ROLL'!$F$37+ (B22-13*'3 ROLL'!$F$41) *'3 ROLL'!$F$38,
IF(B23&lt;=15*'3 ROLL'!$F$41,'3 ROLL'!$F$37+ (B22-14*'3 ROLL'!$F$41) *'3 ROLL'!$F$38,
IF(B23&lt;=16*'3 ROLL'!$F$41,'3 ROLL'!$F$37+ (B22-15*'3 ROLL'!$F$41) *'3 ROLL'!$F$38,
IF(B23&lt;=17*'3 ROLL'!$F$41,'3 ROLL'!$F$37+ (B22-16*'3 ROLL'!$F$41) *'3 ROLL'!$F$38,
IF(B23&lt;=18*'3 ROLL'!$F$41,'3 ROLL'!$F$37+ (B22-17*'3 ROLL'!$F$41) *'3 ROLL'!$F$38,
IF(B23&lt;=19*'3 ROLL'!$F$41,'3 ROLL'!$F$37+ (B22-18*'3 ROLL'!$F$41) *'3 ROLL'!$F$38,
IF(B23&lt;=20*'3 ROLL'!$F$41,'3 ROLL'!$F$37+ (B22-19*'3 ROLL'!$F$41) *'3 ROLL'!$F$38, ""
) ) ) ) ) ) ) ) ) ) ) ) ) ) ) ) ) ) ) )</f>
        <v>3.8</v>
      </c>
      <c r="D23" s="105"/>
      <c r="E23" s="111">
        <f>'3 ROLL'!$F$11*'3 ROLL'!$F$9*( ((1+'3 ROLL'!$F$12)^roll!B23 - 1) /'3 ROLL'!$F$12)</f>
        <v>15191953.382377807</v>
      </c>
      <c r="F23" s="111">
        <f>'3 ROLL'!$F$14*'3 ROLL'!$F$9*( ((1+'3 ROLL'!$F$15)^roll!B23 - 1) /'3 ROLL'!$F$15)</f>
        <v>303839067.64755613</v>
      </c>
      <c r="G23" s="111">
        <f>'3 ROLL'!$F$17*'3 ROLL'!$F$9*( ((1+'3 ROLL'!$F$18)^roll!B23 - 1) /'3 ROLL'!$F$18)</f>
        <v>45575.860147133419</v>
      </c>
      <c r="H23" s="111">
        <f>'3 ROLL'!$F$20*'3 ROLL'!$F$9*( ((1+'3 ROLL'!$F$21)^roll!B23 - 1) /'3 ROLL'!$F$21)</f>
        <v>30383.906764755615</v>
      </c>
      <c r="I23" s="109"/>
      <c r="J23" s="48">
        <f t="shared" si="0"/>
        <v>1.0351939999999999</v>
      </c>
      <c r="K23" s="48">
        <f>'3 ROLL'!$F$24*'3 ROLL'!$F$48*roll!J23</f>
        <v>0.67287609999999998</v>
      </c>
      <c r="L23" s="50">
        <f t="shared" si="2"/>
        <v>10222302.343316188</v>
      </c>
      <c r="M23" s="108"/>
      <c r="N23" s="48">
        <f t="shared" si="3"/>
        <v>1.273326</v>
      </c>
      <c r="O23" s="48">
        <f>'3 ROLL'!$F$27*'3 ROLL'!$F$49*roll!N23</f>
        <v>0.198638856</v>
      </c>
      <c r="P23" s="50">
        <f t="shared" si="4"/>
        <v>60354244.805617161</v>
      </c>
      <c r="Q23" s="106"/>
      <c r="R23" s="48">
        <f t="shared" si="5"/>
        <v>1.273326</v>
      </c>
      <c r="S23" s="48">
        <f>'3 ROLL'!$F$30*'3 ROLL'!$F$49*roll!R23</f>
        <v>0.13242590400000001</v>
      </c>
      <c r="T23" s="50">
        <f t="shared" si="6"/>
        <v>6035.4244805617163</v>
      </c>
      <c r="U23" s="106"/>
      <c r="V23" s="48">
        <f t="shared" si="7"/>
        <v>1.273326</v>
      </c>
      <c r="W23" s="48">
        <f>'3 ROLL'!$F$33*'3 ROLL'!$F$50*roll!V23</f>
        <v>0</v>
      </c>
      <c r="X23" s="50">
        <f t="shared" si="8"/>
        <v>0</v>
      </c>
    </row>
    <row r="24" spans="2:24" ht="14.5" customHeight="1" x14ac:dyDescent="0.35">
      <c r="B24" s="91">
        <f t="shared" si="1"/>
        <v>20</v>
      </c>
      <c r="C24" s="49">
        <f>IF(B24&lt;='3 ROLL'!$F$41,'3 ROLL'!$F$37+B23*'3 ROLL'!$F$38,
IF(B24&lt;=2*'3 ROLL'!$F$41,'3 ROLL'!$F$37+ (B23-'3 ROLL'!$F$41) *'3 ROLL'!$F$38,
IF(B24&lt;=3*'3 ROLL'!$F$41,'3 ROLL'!$F$37+ (B23-2*'3 ROLL'!$F$41) *'3 ROLL'!$F$38,
IF(B24&lt;=4*'3 ROLL'!$F$41,'3 ROLL'!$F$37+ (B23-3*'3 ROLL'!$F$41) *'3 ROLL'!$F$38,
IF(B24&lt;=5*'3 ROLL'!$F$41,'3 ROLL'!$F$37+ (B23-4*'3 ROLL'!$F$41) *'3 ROLL'!$F$38,
IF(B24&lt;=6*'3 ROLL'!$F$41,'3 ROLL'!$F$37+ (B23-5*'3 ROLL'!$F$41) *'3 ROLL'!$F$38,
IF(B24&lt;=7*'3 ROLL'!$F$41,'3 ROLL'!$F$37+ (B23-6*'3 ROLL'!$F$41) *'3 ROLL'!$F$38,
IF(B24&lt;=8*'3 ROLL'!$F$41,'3 ROLL'!$F$37+ (B23-7*'3 ROLL'!$F$41) *'3 ROLL'!$F$38,
IF(B24&lt;=9*'3 ROLL'!$F$41,'3 ROLL'!$F$37+ (B23-8*'3 ROLL'!$F$41) *'3 ROLL'!$F$38,
IF(B24&lt;=10*'3 ROLL'!$F$41,'3 ROLL'!$F$37+ (B23-9*'3 ROLL'!$F$41) *'3 ROLL'!$F$38,
IF(B24&lt;=11*'3 ROLL'!$F$41,'3 ROLL'!$F$37+ (B23-10*'3 ROLL'!$F$41) *'3 ROLL'!$F$38,
IF(B24&lt;=12*'3 ROLL'!$F$41,'3 ROLL'!$F$37+ (B23-11*'3 ROLL'!$F$41) *'3 ROLL'!$F$38,
IF(B24&lt;=13*'3 ROLL'!$F$41,'3 ROLL'!$F$37+ (B23-12*'3 ROLL'!$F$41) *'3 ROLL'!$F$38,
IF(B24&lt;=14*'3 ROLL'!$F$41,'3 ROLL'!$F$37+ (B23-13*'3 ROLL'!$F$41) *'3 ROLL'!$F$38,
IF(B24&lt;=15*'3 ROLL'!$F$41,'3 ROLL'!$F$37+ (B23-14*'3 ROLL'!$F$41) *'3 ROLL'!$F$38,
IF(B24&lt;=16*'3 ROLL'!$F$41,'3 ROLL'!$F$37+ (B23-15*'3 ROLL'!$F$41) *'3 ROLL'!$F$38,
IF(B24&lt;=17*'3 ROLL'!$F$41,'3 ROLL'!$F$37+ (B23-16*'3 ROLL'!$F$41) *'3 ROLL'!$F$38,
IF(B24&lt;=18*'3 ROLL'!$F$41,'3 ROLL'!$F$37+ (B23-17*'3 ROLL'!$F$41) *'3 ROLL'!$F$38,
IF(B24&lt;=19*'3 ROLL'!$F$41,'3 ROLL'!$F$37+ (B23-18*'3 ROLL'!$F$41) *'3 ROLL'!$F$38,
IF(B24&lt;=20*'3 ROLL'!$F$41,'3 ROLL'!$F$37+ (B23-19*'3 ROLL'!$F$41) *'3 ROLL'!$F$38, ""
) ) ) ) ) ) ) ) ) ) ) ) ) ) ) ) ) ) ) )</f>
        <v>3.9000000000000004</v>
      </c>
      <c r="D24" s="105"/>
      <c r="E24" s="111">
        <f>'3 ROLL'!$F$11*'3 ROLL'!$F$9*( ((1+'3 ROLL'!$F$12)^roll!B24 - 1) /'3 ROLL'!$F$12)</f>
        <v>16073872.916201595</v>
      </c>
      <c r="F24" s="111">
        <f>'3 ROLL'!$F$14*'3 ROLL'!$F$9*( ((1+'3 ROLL'!$F$15)^roll!B24 - 1) /'3 ROLL'!$F$15)</f>
        <v>321477458.32403189</v>
      </c>
      <c r="G24" s="111">
        <f>'3 ROLL'!$F$17*'3 ROLL'!$F$9*( ((1+'3 ROLL'!$F$18)^roll!B24 - 1) /'3 ROLL'!$F$18)</f>
        <v>48221.618748604786</v>
      </c>
      <c r="H24" s="111">
        <f>'3 ROLL'!$F$20*'3 ROLL'!$F$9*( ((1+'3 ROLL'!$F$21)^roll!B24 - 1) /'3 ROLL'!$F$21)</f>
        <v>32147.74583240319</v>
      </c>
      <c r="I24" s="109"/>
      <c r="J24" s="48">
        <f t="shared" si="0"/>
        <v>1.0373569999999999</v>
      </c>
      <c r="K24" s="48">
        <f>'3 ROLL'!$F$24*'3 ROLL'!$F$48*roll!J24</f>
        <v>0.67428204999999997</v>
      </c>
      <c r="L24" s="50">
        <f t="shared" si="2"/>
        <v>10838323.98137589</v>
      </c>
      <c r="M24" s="108"/>
      <c r="N24" s="48">
        <f t="shared" si="3"/>
        <v>1.2807029999999999</v>
      </c>
      <c r="O24" s="48">
        <f>'3 ROLL'!$F$27*'3 ROLL'!$F$49*roll!N24</f>
        <v>0.19978966799999998</v>
      </c>
      <c r="P24" s="50">
        <f t="shared" si="4"/>
        <v>64227874.668042161</v>
      </c>
      <c r="Q24" s="106"/>
      <c r="R24" s="48">
        <f t="shared" si="5"/>
        <v>1.2807029999999999</v>
      </c>
      <c r="S24" s="48">
        <f>'3 ROLL'!$F$30*'3 ROLL'!$F$49*roll!R24</f>
        <v>0.133193112</v>
      </c>
      <c r="T24" s="50">
        <f t="shared" si="6"/>
        <v>6422.7874668042168</v>
      </c>
      <c r="U24" s="106"/>
      <c r="V24" s="48">
        <f t="shared" si="7"/>
        <v>1.2807029999999999</v>
      </c>
      <c r="W24" s="48">
        <f>'3 ROLL'!$F$33*'3 ROLL'!$F$50*roll!V24</f>
        <v>0</v>
      </c>
      <c r="X24" s="50">
        <f t="shared" si="8"/>
        <v>0</v>
      </c>
    </row>
    <row r="25" spans="2:24" ht="14.5" customHeight="1" x14ac:dyDescent="0.35">
      <c r="B25" s="91">
        <f t="shared" si="1"/>
        <v>21</v>
      </c>
      <c r="C25" s="49">
        <f>IF(B25&lt;='3 ROLL'!$F$41,'3 ROLL'!$F$37+B24*'3 ROLL'!$F$38,
IF(B25&lt;=2*'3 ROLL'!$F$41,'3 ROLL'!$F$37+ (B24-'3 ROLL'!$F$41) *'3 ROLL'!$F$38,
IF(B25&lt;=3*'3 ROLL'!$F$41,'3 ROLL'!$F$37+ (B24-2*'3 ROLL'!$F$41) *'3 ROLL'!$F$38,
IF(B25&lt;=4*'3 ROLL'!$F$41,'3 ROLL'!$F$37+ (B24-3*'3 ROLL'!$F$41) *'3 ROLL'!$F$38,
IF(B25&lt;=5*'3 ROLL'!$F$41,'3 ROLL'!$F$37+ (B24-4*'3 ROLL'!$F$41) *'3 ROLL'!$F$38,
IF(B25&lt;=6*'3 ROLL'!$F$41,'3 ROLL'!$F$37+ (B24-5*'3 ROLL'!$F$41) *'3 ROLL'!$F$38,
IF(B25&lt;=7*'3 ROLL'!$F$41,'3 ROLL'!$F$37+ (B24-6*'3 ROLL'!$F$41) *'3 ROLL'!$F$38,
IF(B25&lt;=8*'3 ROLL'!$F$41,'3 ROLL'!$F$37+ (B24-7*'3 ROLL'!$F$41) *'3 ROLL'!$F$38,
IF(B25&lt;=9*'3 ROLL'!$F$41,'3 ROLL'!$F$37+ (B24-8*'3 ROLL'!$F$41) *'3 ROLL'!$F$38,
IF(B25&lt;=10*'3 ROLL'!$F$41,'3 ROLL'!$F$37+ (B24-9*'3 ROLL'!$F$41) *'3 ROLL'!$F$38,
IF(B25&lt;=11*'3 ROLL'!$F$41,'3 ROLL'!$F$37+ (B24-10*'3 ROLL'!$F$41) *'3 ROLL'!$F$38,
IF(B25&lt;=12*'3 ROLL'!$F$41,'3 ROLL'!$F$37+ (B24-11*'3 ROLL'!$F$41) *'3 ROLL'!$F$38,
IF(B25&lt;=13*'3 ROLL'!$F$41,'3 ROLL'!$F$37+ (B24-12*'3 ROLL'!$F$41) *'3 ROLL'!$F$38,
IF(B25&lt;=14*'3 ROLL'!$F$41,'3 ROLL'!$F$37+ (B24-13*'3 ROLL'!$F$41) *'3 ROLL'!$F$38,
IF(B25&lt;=15*'3 ROLL'!$F$41,'3 ROLL'!$F$37+ (B24-14*'3 ROLL'!$F$41) *'3 ROLL'!$F$38,
IF(B25&lt;=16*'3 ROLL'!$F$41,'3 ROLL'!$F$37+ (B24-15*'3 ROLL'!$F$41) *'3 ROLL'!$F$38,
IF(B25&lt;=17*'3 ROLL'!$F$41,'3 ROLL'!$F$37+ (B24-16*'3 ROLL'!$F$41) *'3 ROLL'!$F$38,
IF(B25&lt;=18*'3 ROLL'!$F$41,'3 ROLL'!$F$37+ (B24-17*'3 ROLL'!$F$41) *'3 ROLL'!$F$38,
IF(B25&lt;=19*'3 ROLL'!$F$41,'3 ROLL'!$F$37+ (B24-18*'3 ROLL'!$F$41) *'3 ROLL'!$F$38,
IF(B25&lt;=20*'3 ROLL'!$F$41,'3 ROLL'!$F$37+ (B24-19*'3 ROLL'!$F$41) *'3 ROLL'!$F$38, ""
) ) ) ) ) ) ) ) ) ) ) ) ) ) ) ) ) ) ) )</f>
        <v>2</v>
      </c>
      <c r="D25" s="105"/>
      <c r="E25" s="111">
        <f>'3 ROLL'!$F$11*'3 ROLL'!$F$9*( ((1+'3 ROLL'!$F$12)^roll!B25 - 1) /'3 ROLL'!$F$12)</f>
        <v>16964611.645363603</v>
      </c>
      <c r="F25" s="111">
        <f>'3 ROLL'!$F$14*'3 ROLL'!$F$9*( ((1+'3 ROLL'!$F$15)^roll!B25 - 1) /'3 ROLL'!$F$15)</f>
        <v>339292232.90727204</v>
      </c>
      <c r="G25" s="111">
        <f>'3 ROLL'!$F$17*'3 ROLL'!$F$9*( ((1+'3 ROLL'!$F$18)^roll!B25 - 1) /'3 ROLL'!$F$18)</f>
        <v>50893.834936090803</v>
      </c>
      <c r="H25" s="111">
        <f>'3 ROLL'!$F$20*'3 ROLL'!$F$9*( ((1+'3 ROLL'!$F$21)^roll!B25 - 1) /'3 ROLL'!$F$21)</f>
        <v>33929.223290727205</v>
      </c>
      <c r="I25" s="109"/>
      <c r="J25" s="48">
        <f t="shared" si="0"/>
        <v>1</v>
      </c>
      <c r="K25" s="48">
        <f>'3 ROLL'!$F$24*'3 ROLL'!$F$48*roll!J25</f>
        <v>0.65</v>
      </c>
      <c r="L25" s="50">
        <f t="shared" si="2"/>
        <v>11026997.569486342</v>
      </c>
      <c r="M25" s="108"/>
      <c r="N25" s="48">
        <f t="shared" si="3"/>
        <v>1.1405400000000001</v>
      </c>
      <c r="O25" s="48">
        <f>'3 ROLL'!$F$27*'3 ROLL'!$F$49*roll!N25</f>
        <v>0.17792424000000001</v>
      </c>
      <c r="P25" s="50">
        <f t="shared" si="4"/>
        <v>60368312.677929372</v>
      </c>
      <c r="Q25" s="106"/>
      <c r="R25" s="48">
        <f t="shared" si="5"/>
        <v>1.1405400000000001</v>
      </c>
      <c r="S25" s="48">
        <f>'3 ROLL'!$F$30*'3 ROLL'!$F$49*roll!R25</f>
        <v>0.11861616000000003</v>
      </c>
      <c r="T25" s="50">
        <f t="shared" si="6"/>
        <v>6036.831267792938</v>
      </c>
      <c r="U25" s="106"/>
      <c r="V25" s="48">
        <f t="shared" si="7"/>
        <v>1.1405400000000001</v>
      </c>
      <c r="W25" s="48">
        <f>'3 ROLL'!$F$33*'3 ROLL'!$F$50*roll!V25</f>
        <v>0</v>
      </c>
      <c r="X25" s="50">
        <f t="shared" si="8"/>
        <v>0</v>
      </c>
    </row>
    <row r="26" spans="2:24" ht="14.5" customHeight="1" x14ac:dyDescent="0.35">
      <c r="B26" s="91">
        <f t="shared" si="1"/>
        <v>22</v>
      </c>
      <c r="C26" s="49">
        <f>IF(B26&lt;='3 ROLL'!$F$41,'3 ROLL'!$F$37+B25*'3 ROLL'!$F$38,
IF(B26&lt;=2*'3 ROLL'!$F$41,'3 ROLL'!$F$37+ (B25-'3 ROLL'!$F$41) *'3 ROLL'!$F$38,
IF(B26&lt;=3*'3 ROLL'!$F$41,'3 ROLL'!$F$37+ (B25-2*'3 ROLL'!$F$41) *'3 ROLL'!$F$38,
IF(B26&lt;=4*'3 ROLL'!$F$41,'3 ROLL'!$F$37+ (B25-3*'3 ROLL'!$F$41) *'3 ROLL'!$F$38,
IF(B26&lt;=5*'3 ROLL'!$F$41,'3 ROLL'!$F$37+ (B25-4*'3 ROLL'!$F$41) *'3 ROLL'!$F$38,
IF(B26&lt;=6*'3 ROLL'!$F$41,'3 ROLL'!$F$37+ (B25-5*'3 ROLL'!$F$41) *'3 ROLL'!$F$38,
IF(B26&lt;=7*'3 ROLL'!$F$41,'3 ROLL'!$F$37+ (B25-6*'3 ROLL'!$F$41) *'3 ROLL'!$F$38,
IF(B26&lt;=8*'3 ROLL'!$F$41,'3 ROLL'!$F$37+ (B25-7*'3 ROLL'!$F$41) *'3 ROLL'!$F$38,
IF(B26&lt;=9*'3 ROLL'!$F$41,'3 ROLL'!$F$37+ (B25-8*'3 ROLL'!$F$41) *'3 ROLL'!$F$38,
IF(B26&lt;=10*'3 ROLL'!$F$41,'3 ROLL'!$F$37+ (B25-9*'3 ROLL'!$F$41) *'3 ROLL'!$F$38,
IF(B26&lt;=11*'3 ROLL'!$F$41,'3 ROLL'!$F$37+ (B25-10*'3 ROLL'!$F$41) *'3 ROLL'!$F$38,
IF(B26&lt;=12*'3 ROLL'!$F$41,'3 ROLL'!$F$37+ (B25-11*'3 ROLL'!$F$41) *'3 ROLL'!$F$38,
IF(B26&lt;=13*'3 ROLL'!$F$41,'3 ROLL'!$F$37+ (B25-12*'3 ROLL'!$F$41) *'3 ROLL'!$F$38,
IF(B26&lt;=14*'3 ROLL'!$F$41,'3 ROLL'!$F$37+ (B25-13*'3 ROLL'!$F$41) *'3 ROLL'!$F$38,
IF(B26&lt;=15*'3 ROLL'!$F$41,'3 ROLL'!$F$37+ (B25-14*'3 ROLL'!$F$41) *'3 ROLL'!$F$38,
IF(B26&lt;=16*'3 ROLL'!$F$41,'3 ROLL'!$F$37+ (B25-15*'3 ROLL'!$F$41) *'3 ROLL'!$F$38,
IF(B26&lt;=17*'3 ROLL'!$F$41,'3 ROLL'!$F$37+ (B25-16*'3 ROLL'!$F$41) *'3 ROLL'!$F$38,
IF(B26&lt;=18*'3 ROLL'!$F$41,'3 ROLL'!$F$37+ (B25-17*'3 ROLL'!$F$41) *'3 ROLL'!$F$38,
IF(B26&lt;=19*'3 ROLL'!$F$41,'3 ROLL'!$F$37+ (B25-18*'3 ROLL'!$F$41) *'3 ROLL'!$F$38,
IF(B26&lt;=20*'3 ROLL'!$F$41,'3 ROLL'!$F$37+ (B25-19*'3 ROLL'!$F$41) *'3 ROLL'!$F$38, ""
) ) ) ) ) ) ) ) ) ) ) ) ) ) ) ) ) ) ) )</f>
        <v>2.1</v>
      </c>
      <c r="D26" s="105"/>
      <c r="E26" s="111">
        <f>'3 ROLL'!$F$11*'3 ROLL'!$F$9*( ((1+'3 ROLL'!$F$12)^roll!B26 - 1) /'3 ROLL'!$F$12)</f>
        <v>17864257.761817258</v>
      </c>
      <c r="F26" s="111">
        <f>'3 ROLL'!$F$14*'3 ROLL'!$F$9*( ((1+'3 ROLL'!$F$15)^roll!B26 - 1) /'3 ROLL'!$F$15)</f>
        <v>357285155.23634517</v>
      </c>
      <c r="G26" s="111">
        <f>'3 ROLL'!$F$17*'3 ROLL'!$F$9*( ((1+'3 ROLL'!$F$18)^roll!B26 - 1) /'3 ROLL'!$F$18)</f>
        <v>53592.773285451774</v>
      </c>
      <c r="H26" s="111">
        <f>'3 ROLL'!$F$20*'3 ROLL'!$F$9*( ((1+'3 ROLL'!$F$21)^roll!B26 - 1) /'3 ROLL'!$F$21)</f>
        <v>35728.515523634516</v>
      </c>
      <c r="I26" s="109"/>
      <c r="J26" s="48">
        <f t="shared" si="0"/>
        <v>1</v>
      </c>
      <c r="K26" s="48">
        <f>'3 ROLL'!$F$24*'3 ROLL'!$F$48*roll!J26</f>
        <v>0.65</v>
      </c>
      <c r="L26" s="50">
        <f t="shared" si="2"/>
        <v>11611767.545181219</v>
      </c>
      <c r="M26" s="108"/>
      <c r="N26" s="48">
        <f t="shared" si="3"/>
        <v>1.1479170000000001</v>
      </c>
      <c r="O26" s="48">
        <f>'3 ROLL'!$F$27*'3 ROLL'!$F$49*roll!N26</f>
        <v>0.17907505200000001</v>
      </c>
      <c r="P26" s="50">
        <f t="shared" si="4"/>
        <v>63980857.752776586</v>
      </c>
      <c r="Q26" s="106"/>
      <c r="R26" s="48">
        <f t="shared" si="5"/>
        <v>1.1479170000000001</v>
      </c>
      <c r="S26" s="48">
        <f>'3 ROLL'!$F$30*'3 ROLL'!$F$49*roll!R26</f>
        <v>0.11938336800000002</v>
      </c>
      <c r="T26" s="50">
        <f t="shared" si="6"/>
        <v>6398.0857752776592</v>
      </c>
      <c r="U26" s="106"/>
      <c r="V26" s="48">
        <f t="shared" si="7"/>
        <v>1.1479170000000001</v>
      </c>
      <c r="W26" s="48">
        <f>'3 ROLL'!$F$33*'3 ROLL'!$F$50*roll!V26</f>
        <v>0</v>
      </c>
      <c r="X26" s="50">
        <f t="shared" si="8"/>
        <v>0</v>
      </c>
    </row>
    <row r="27" spans="2:24" ht="14.5" customHeight="1" x14ac:dyDescent="0.35">
      <c r="B27" s="91">
        <f t="shared" si="1"/>
        <v>23</v>
      </c>
      <c r="C27" s="49">
        <f>IF(B27&lt;='3 ROLL'!$F$41,'3 ROLL'!$F$37+B26*'3 ROLL'!$F$38,
IF(B27&lt;=2*'3 ROLL'!$F$41,'3 ROLL'!$F$37+ (B26-'3 ROLL'!$F$41) *'3 ROLL'!$F$38,
IF(B27&lt;=3*'3 ROLL'!$F$41,'3 ROLL'!$F$37+ (B26-2*'3 ROLL'!$F$41) *'3 ROLL'!$F$38,
IF(B27&lt;=4*'3 ROLL'!$F$41,'3 ROLL'!$F$37+ (B26-3*'3 ROLL'!$F$41) *'3 ROLL'!$F$38,
IF(B27&lt;=5*'3 ROLL'!$F$41,'3 ROLL'!$F$37+ (B26-4*'3 ROLL'!$F$41) *'3 ROLL'!$F$38,
IF(B27&lt;=6*'3 ROLL'!$F$41,'3 ROLL'!$F$37+ (B26-5*'3 ROLL'!$F$41) *'3 ROLL'!$F$38,
IF(B27&lt;=7*'3 ROLL'!$F$41,'3 ROLL'!$F$37+ (B26-6*'3 ROLL'!$F$41) *'3 ROLL'!$F$38,
IF(B27&lt;=8*'3 ROLL'!$F$41,'3 ROLL'!$F$37+ (B26-7*'3 ROLL'!$F$41) *'3 ROLL'!$F$38,
IF(B27&lt;=9*'3 ROLL'!$F$41,'3 ROLL'!$F$37+ (B26-8*'3 ROLL'!$F$41) *'3 ROLL'!$F$38,
IF(B27&lt;=10*'3 ROLL'!$F$41,'3 ROLL'!$F$37+ (B26-9*'3 ROLL'!$F$41) *'3 ROLL'!$F$38,
IF(B27&lt;=11*'3 ROLL'!$F$41,'3 ROLL'!$F$37+ (B26-10*'3 ROLL'!$F$41) *'3 ROLL'!$F$38,
IF(B27&lt;=12*'3 ROLL'!$F$41,'3 ROLL'!$F$37+ (B26-11*'3 ROLL'!$F$41) *'3 ROLL'!$F$38,
IF(B27&lt;=13*'3 ROLL'!$F$41,'3 ROLL'!$F$37+ (B26-12*'3 ROLL'!$F$41) *'3 ROLL'!$F$38,
IF(B27&lt;=14*'3 ROLL'!$F$41,'3 ROLL'!$F$37+ (B26-13*'3 ROLL'!$F$41) *'3 ROLL'!$F$38,
IF(B27&lt;=15*'3 ROLL'!$F$41,'3 ROLL'!$F$37+ (B26-14*'3 ROLL'!$F$41) *'3 ROLL'!$F$38,
IF(B27&lt;=16*'3 ROLL'!$F$41,'3 ROLL'!$F$37+ (B26-15*'3 ROLL'!$F$41) *'3 ROLL'!$F$38,
IF(B27&lt;=17*'3 ROLL'!$F$41,'3 ROLL'!$F$37+ (B26-16*'3 ROLL'!$F$41) *'3 ROLL'!$F$38,
IF(B27&lt;=18*'3 ROLL'!$F$41,'3 ROLL'!$F$37+ (B26-17*'3 ROLL'!$F$41) *'3 ROLL'!$F$38,
IF(B27&lt;=19*'3 ROLL'!$F$41,'3 ROLL'!$F$37+ (B26-18*'3 ROLL'!$F$41) *'3 ROLL'!$F$38,
IF(B27&lt;=20*'3 ROLL'!$F$41,'3 ROLL'!$F$37+ (B26-19*'3 ROLL'!$F$41) *'3 ROLL'!$F$38, ""
) ) ) ) ) ) ) ) ) ) ) ) ) ) ) ) ) ) ) )</f>
        <v>2.2000000000000002</v>
      </c>
      <c r="D27" s="105"/>
      <c r="E27" s="111">
        <f>'3 ROLL'!$F$11*'3 ROLL'!$F$9*( ((1+'3 ROLL'!$F$12)^roll!B27 - 1) /'3 ROLL'!$F$12)</f>
        <v>18772900.339435417</v>
      </c>
      <c r="F27" s="111">
        <f>'3 ROLL'!$F$14*'3 ROLL'!$F$9*( ((1+'3 ROLL'!$F$15)^roll!B27 - 1) /'3 ROLL'!$F$15)</f>
        <v>375458006.78870833</v>
      </c>
      <c r="G27" s="111">
        <f>'3 ROLL'!$F$17*'3 ROLL'!$F$9*( ((1+'3 ROLL'!$F$18)^roll!B27 - 1) /'3 ROLL'!$F$18)</f>
        <v>56318.701018306252</v>
      </c>
      <c r="H27" s="111">
        <f>'3 ROLL'!$F$20*'3 ROLL'!$F$9*( ((1+'3 ROLL'!$F$21)^roll!B27 - 1) /'3 ROLL'!$F$21)</f>
        <v>37545.800678870837</v>
      </c>
      <c r="I27" s="109"/>
      <c r="J27" s="48">
        <f t="shared" si="0"/>
        <v>1.000586</v>
      </c>
      <c r="K27" s="48">
        <f>'3 ROLL'!$F$24*'3 ROLL'!$F$48*roll!J27</f>
        <v>0.65038090000000004</v>
      </c>
      <c r="L27" s="50">
        <f t="shared" si="2"/>
        <v>12209535.818372313</v>
      </c>
      <c r="M27" s="108"/>
      <c r="N27" s="48">
        <f t="shared" si="3"/>
        <v>1.155294</v>
      </c>
      <c r="O27" s="48">
        <f>'3 ROLL'!$F$27*'3 ROLL'!$F$49*roll!N27</f>
        <v>0.18022586400000001</v>
      </c>
      <c r="P27" s="50">
        <f t="shared" si="4"/>
        <v>67667243.669212833</v>
      </c>
      <c r="Q27" s="106"/>
      <c r="R27" s="48">
        <f t="shared" si="5"/>
        <v>1.155294</v>
      </c>
      <c r="S27" s="48">
        <f>'3 ROLL'!$F$30*'3 ROLL'!$F$49*roll!R27</f>
        <v>0.12015057600000001</v>
      </c>
      <c r="T27" s="50">
        <f t="shared" si="6"/>
        <v>6766.724366921283</v>
      </c>
      <c r="U27" s="106"/>
      <c r="V27" s="48">
        <f t="shared" si="7"/>
        <v>1.155294</v>
      </c>
      <c r="W27" s="48">
        <f>'3 ROLL'!$F$33*'3 ROLL'!$F$50*roll!V27</f>
        <v>0</v>
      </c>
      <c r="X27" s="50">
        <f t="shared" si="8"/>
        <v>0</v>
      </c>
    </row>
    <row r="28" spans="2:24" ht="14.5" customHeight="1" x14ac:dyDescent="0.35">
      <c r="B28" s="91">
        <f t="shared" si="1"/>
        <v>24</v>
      </c>
      <c r="C28" s="49">
        <f>IF(B28&lt;='3 ROLL'!$F$41,'3 ROLL'!$F$37+B27*'3 ROLL'!$F$38,
IF(B28&lt;=2*'3 ROLL'!$F$41,'3 ROLL'!$F$37+ (B27-'3 ROLL'!$F$41) *'3 ROLL'!$F$38,
IF(B28&lt;=3*'3 ROLL'!$F$41,'3 ROLL'!$F$37+ (B27-2*'3 ROLL'!$F$41) *'3 ROLL'!$F$38,
IF(B28&lt;=4*'3 ROLL'!$F$41,'3 ROLL'!$F$37+ (B27-3*'3 ROLL'!$F$41) *'3 ROLL'!$F$38,
IF(B28&lt;=5*'3 ROLL'!$F$41,'3 ROLL'!$F$37+ (B27-4*'3 ROLL'!$F$41) *'3 ROLL'!$F$38,
IF(B28&lt;=6*'3 ROLL'!$F$41,'3 ROLL'!$F$37+ (B27-5*'3 ROLL'!$F$41) *'3 ROLL'!$F$38,
IF(B28&lt;=7*'3 ROLL'!$F$41,'3 ROLL'!$F$37+ (B27-6*'3 ROLL'!$F$41) *'3 ROLL'!$F$38,
IF(B28&lt;=8*'3 ROLL'!$F$41,'3 ROLL'!$F$37+ (B27-7*'3 ROLL'!$F$41) *'3 ROLL'!$F$38,
IF(B28&lt;=9*'3 ROLL'!$F$41,'3 ROLL'!$F$37+ (B27-8*'3 ROLL'!$F$41) *'3 ROLL'!$F$38,
IF(B28&lt;=10*'3 ROLL'!$F$41,'3 ROLL'!$F$37+ (B27-9*'3 ROLL'!$F$41) *'3 ROLL'!$F$38,
IF(B28&lt;=11*'3 ROLL'!$F$41,'3 ROLL'!$F$37+ (B27-10*'3 ROLL'!$F$41) *'3 ROLL'!$F$38,
IF(B28&lt;=12*'3 ROLL'!$F$41,'3 ROLL'!$F$37+ (B27-11*'3 ROLL'!$F$41) *'3 ROLL'!$F$38,
IF(B28&lt;=13*'3 ROLL'!$F$41,'3 ROLL'!$F$37+ (B27-12*'3 ROLL'!$F$41) *'3 ROLL'!$F$38,
IF(B28&lt;=14*'3 ROLL'!$F$41,'3 ROLL'!$F$37+ (B27-13*'3 ROLL'!$F$41) *'3 ROLL'!$F$38,
IF(B28&lt;=15*'3 ROLL'!$F$41,'3 ROLL'!$F$37+ (B27-14*'3 ROLL'!$F$41) *'3 ROLL'!$F$38,
IF(B28&lt;=16*'3 ROLL'!$F$41,'3 ROLL'!$F$37+ (B27-15*'3 ROLL'!$F$41) *'3 ROLL'!$F$38,
IF(B28&lt;=17*'3 ROLL'!$F$41,'3 ROLL'!$F$37+ (B27-16*'3 ROLL'!$F$41) *'3 ROLL'!$F$38,
IF(B28&lt;=18*'3 ROLL'!$F$41,'3 ROLL'!$F$37+ (B27-17*'3 ROLL'!$F$41) *'3 ROLL'!$F$38,
IF(B28&lt;=19*'3 ROLL'!$F$41,'3 ROLL'!$F$37+ (B27-18*'3 ROLL'!$F$41) *'3 ROLL'!$F$38,
IF(B28&lt;=20*'3 ROLL'!$F$41,'3 ROLL'!$F$37+ (B27-19*'3 ROLL'!$F$41) *'3 ROLL'!$F$38, ""
) ) ) ) ) ) ) ) ) ) ) ) ) ) ) ) ) ) ) )</f>
        <v>2.2999999999999998</v>
      </c>
      <c r="D28" s="105"/>
      <c r="E28" s="111">
        <f>'3 ROLL'!$F$11*'3 ROLL'!$F$9*( ((1+'3 ROLL'!$F$12)^roll!B28 - 1) /'3 ROLL'!$F$12)</f>
        <v>19690629.342829794</v>
      </c>
      <c r="F28" s="111">
        <f>'3 ROLL'!$F$14*'3 ROLL'!$F$9*( ((1+'3 ROLL'!$F$15)^roll!B28 - 1) /'3 ROLL'!$F$15)</f>
        <v>393812586.85659587</v>
      </c>
      <c r="G28" s="111">
        <f>'3 ROLL'!$F$17*'3 ROLL'!$F$9*( ((1+'3 ROLL'!$F$18)^roll!B28 - 1) /'3 ROLL'!$F$18)</f>
        <v>59071.888028489382</v>
      </c>
      <c r="H28" s="111">
        <f>'3 ROLL'!$F$20*'3 ROLL'!$F$9*( ((1+'3 ROLL'!$F$21)^roll!B28 - 1) /'3 ROLL'!$F$21)</f>
        <v>39381.258685659588</v>
      </c>
      <c r="I28" s="109"/>
      <c r="J28" s="48">
        <f t="shared" si="0"/>
        <v>1.0027489999999999</v>
      </c>
      <c r="K28" s="48">
        <f>'3 ROLL'!$F$24*'3 ROLL'!$F$48*roll!J28</f>
        <v>0.65178684999999992</v>
      </c>
      <c r="L28" s="50">
        <f t="shared" si="2"/>
        <v>12834093.273880599</v>
      </c>
      <c r="M28" s="108"/>
      <c r="N28" s="48">
        <f t="shared" si="3"/>
        <v>1.162671</v>
      </c>
      <c r="O28" s="48">
        <f>'3 ROLL'!$F$27*'3 ROLL'!$F$49*roll!N28</f>
        <v>0.18137667600000001</v>
      </c>
      <c r="P28" s="50">
        <f t="shared" si="4"/>
        <v>71428417.971010655</v>
      </c>
      <c r="Q28" s="106"/>
      <c r="R28" s="48">
        <f t="shared" si="5"/>
        <v>1.162671</v>
      </c>
      <c r="S28" s="48">
        <f>'3 ROLL'!$F$30*'3 ROLL'!$F$49*roll!R28</f>
        <v>0.12091778400000001</v>
      </c>
      <c r="T28" s="50">
        <f t="shared" si="6"/>
        <v>7142.8417971010658</v>
      </c>
      <c r="U28" s="106"/>
      <c r="V28" s="48">
        <f t="shared" si="7"/>
        <v>1.162671</v>
      </c>
      <c r="W28" s="48">
        <f>'3 ROLL'!$F$33*'3 ROLL'!$F$50*roll!V28</f>
        <v>0</v>
      </c>
      <c r="X28" s="50">
        <f t="shared" si="8"/>
        <v>0</v>
      </c>
    </row>
    <row r="29" spans="2:24" ht="14.5" customHeight="1" x14ac:dyDescent="0.35">
      <c r="B29" s="91">
        <f t="shared" si="1"/>
        <v>25</v>
      </c>
      <c r="C29" s="49">
        <f>IF(B29&lt;='3 ROLL'!$F$41,'3 ROLL'!$F$37+B28*'3 ROLL'!$F$38,
IF(B29&lt;=2*'3 ROLL'!$F$41,'3 ROLL'!$F$37+ (B28-'3 ROLL'!$F$41) *'3 ROLL'!$F$38,
IF(B29&lt;=3*'3 ROLL'!$F$41,'3 ROLL'!$F$37+ (B28-2*'3 ROLL'!$F$41) *'3 ROLL'!$F$38,
IF(B29&lt;=4*'3 ROLL'!$F$41,'3 ROLL'!$F$37+ (B28-3*'3 ROLL'!$F$41) *'3 ROLL'!$F$38,
IF(B29&lt;=5*'3 ROLL'!$F$41,'3 ROLL'!$F$37+ (B28-4*'3 ROLL'!$F$41) *'3 ROLL'!$F$38,
IF(B29&lt;=6*'3 ROLL'!$F$41,'3 ROLL'!$F$37+ (B28-5*'3 ROLL'!$F$41) *'3 ROLL'!$F$38,
IF(B29&lt;=7*'3 ROLL'!$F$41,'3 ROLL'!$F$37+ (B28-6*'3 ROLL'!$F$41) *'3 ROLL'!$F$38,
IF(B29&lt;=8*'3 ROLL'!$F$41,'3 ROLL'!$F$37+ (B28-7*'3 ROLL'!$F$41) *'3 ROLL'!$F$38,
IF(B29&lt;=9*'3 ROLL'!$F$41,'3 ROLL'!$F$37+ (B28-8*'3 ROLL'!$F$41) *'3 ROLL'!$F$38,
IF(B29&lt;=10*'3 ROLL'!$F$41,'3 ROLL'!$F$37+ (B28-9*'3 ROLL'!$F$41) *'3 ROLL'!$F$38,
IF(B29&lt;=11*'3 ROLL'!$F$41,'3 ROLL'!$F$37+ (B28-10*'3 ROLL'!$F$41) *'3 ROLL'!$F$38,
IF(B29&lt;=12*'3 ROLL'!$F$41,'3 ROLL'!$F$37+ (B28-11*'3 ROLL'!$F$41) *'3 ROLL'!$F$38,
IF(B29&lt;=13*'3 ROLL'!$F$41,'3 ROLL'!$F$37+ (B28-12*'3 ROLL'!$F$41) *'3 ROLL'!$F$38,
IF(B29&lt;=14*'3 ROLL'!$F$41,'3 ROLL'!$F$37+ (B28-13*'3 ROLL'!$F$41) *'3 ROLL'!$F$38,
IF(B29&lt;=15*'3 ROLL'!$F$41,'3 ROLL'!$F$37+ (B28-14*'3 ROLL'!$F$41) *'3 ROLL'!$F$38,
IF(B29&lt;=16*'3 ROLL'!$F$41,'3 ROLL'!$F$37+ (B28-15*'3 ROLL'!$F$41) *'3 ROLL'!$F$38,
IF(B29&lt;=17*'3 ROLL'!$F$41,'3 ROLL'!$F$37+ (B28-16*'3 ROLL'!$F$41) *'3 ROLL'!$F$38,
IF(B29&lt;=18*'3 ROLL'!$F$41,'3 ROLL'!$F$37+ (B28-17*'3 ROLL'!$F$41) *'3 ROLL'!$F$38,
IF(B29&lt;=19*'3 ROLL'!$F$41,'3 ROLL'!$F$37+ (B28-18*'3 ROLL'!$F$41) *'3 ROLL'!$F$38,
IF(B29&lt;=20*'3 ROLL'!$F$41,'3 ROLL'!$F$37+ (B28-19*'3 ROLL'!$F$41) *'3 ROLL'!$F$38, ""
) ) ) ) ) ) ) ) ) ) ) ) ) ) ) ) ) ) ) )</f>
        <v>2.4</v>
      </c>
      <c r="D29" s="105"/>
      <c r="E29" s="111">
        <f>'3 ROLL'!$F$11*'3 ROLL'!$F$9*( ((1+'3 ROLL'!$F$12)^roll!B29 - 1) /'3 ROLL'!$F$12)</f>
        <v>20617535.636258099</v>
      </c>
      <c r="F29" s="111">
        <f>'3 ROLL'!$F$14*'3 ROLL'!$F$9*( ((1+'3 ROLL'!$F$15)^roll!B29 - 1) /'3 ROLL'!$F$15)</f>
        <v>412350712.72516197</v>
      </c>
      <c r="G29" s="111">
        <f>'3 ROLL'!$F$17*'3 ROLL'!$F$9*( ((1+'3 ROLL'!$F$18)^roll!B29 - 1) /'3 ROLL'!$F$18)</f>
        <v>61852.606908774302</v>
      </c>
      <c r="H29" s="111">
        <f>'3 ROLL'!$F$20*'3 ROLL'!$F$9*( ((1+'3 ROLL'!$F$21)^roll!B29 - 1) /'3 ROLL'!$F$21)</f>
        <v>41235.071272516201</v>
      </c>
      <c r="I29" s="109"/>
      <c r="J29" s="48">
        <f t="shared" si="0"/>
        <v>1.004912</v>
      </c>
      <c r="K29" s="48">
        <f>'3 ROLL'!$F$24*'3 ROLL'!$F$48*roll!J29</f>
        <v>0.65319280000000002</v>
      </c>
      <c r="L29" s="50">
        <f t="shared" si="2"/>
        <v>13467225.83134721</v>
      </c>
      <c r="M29" s="108"/>
      <c r="N29" s="48">
        <f t="shared" si="3"/>
        <v>1.170048</v>
      </c>
      <c r="O29" s="48">
        <f>'3 ROLL'!$F$27*'3 ROLL'!$F$49*roll!N29</f>
        <v>0.18252748799999999</v>
      </c>
      <c r="P29" s="50">
        <f t="shared" si="4"/>
        <v>75265339.768733442</v>
      </c>
      <c r="Q29" s="106"/>
      <c r="R29" s="48">
        <f t="shared" si="5"/>
        <v>1.170048</v>
      </c>
      <c r="S29" s="48">
        <f>'3 ROLL'!$F$30*'3 ROLL'!$F$49*roll!R29</f>
        <v>0.12168499200000001</v>
      </c>
      <c r="T29" s="50">
        <f t="shared" si="6"/>
        <v>7526.5339768733456</v>
      </c>
      <c r="U29" s="106"/>
      <c r="V29" s="48">
        <f t="shared" si="7"/>
        <v>1.170048</v>
      </c>
      <c r="W29" s="48">
        <f>'3 ROLL'!$F$33*'3 ROLL'!$F$50*roll!V29</f>
        <v>0</v>
      </c>
      <c r="X29" s="50">
        <f t="shared" si="8"/>
        <v>0</v>
      </c>
    </row>
    <row r="30" spans="2:24" ht="14.5" customHeight="1" x14ac:dyDescent="0.35">
      <c r="B30" s="91">
        <f t="shared" si="1"/>
        <v>26</v>
      </c>
      <c r="C30" s="49">
        <f>IF(B30&lt;='3 ROLL'!$F$41,'3 ROLL'!$F$37+B29*'3 ROLL'!$F$38,
IF(B30&lt;=2*'3 ROLL'!$F$41,'3 ROLL'!$F$37+ (B29-'3 ROLL'!$F$41) *'3 ROLL'!$F$38,
IF(B30&lt;=3*'3 ROLL'!$F$41,'3 ROLL'!$F$37+ (B29-2*'3 ROLL'!$F$41) *'3 ROLL'!$F$38,
IF(B30&lt;=4*'3 ROLL'!$F$41,'3 ROLL'!$F$37+ (B29-3*'3 ROLL'!$F$41) *'3 ROLL'!$F$38,
IF(B30&lt;=5*'3 ROLL'!$F$41,'3 ROLL'!$F$37+ (B29-4*'3 ROLL'!$F$41) *'3 ROLL'!$F$38,
IF(B30&lt;=6*'3 ROLL'!$F$41,'3 ROLL'!$F$37+ (B29-5*'3 ROLL'!$F$41) *'3 ROLL'!$F$38,
IF(B30&lt;=7*'3 ROLL'!$F$41,'3 ROLL'!$F$37+ (B29-6*'3 ROLL'!$F$41) *'3 ROLL'!$F$38,
IF(B30&lt;=8*'3 ROLL'!$F$41,'3 ROLL'!$F$37+ (B29-7*'3 ROLL'!$F$41) *'3 ROLL'!$F$38,
IF(B30&lt;=9*'3 ROLL'!$F$41,'3 ROLL'!$F$37+ (B29-8*'3 ROLL'!$F$41) *'3 ROLL'!$F$38,
IF(B30&lt;=10*'3 ROLL'!$F$41,'3 ROLL'!$F$37+ (B29-9*'3 ROLL'!$F$41) *'3 ROLL'!$F$38,
IF(B30&lt;=11*'3 ROLL'!$F$41,'3 ROLL'!$F$37+ (B29-10*'3 ROLL'!$F$41) *'3 ROLL'!$F$38,
IF(B30&lt;=12*'3 ROLL'!$F$41,'3 ROLL'!$F$37+ (B29-11*'3 ROLL'!$F$41) *'3 ROLL'!$F$38,
IF(B30&lt;=13*'3 ROLL'!$F$41,'3 ROLL'!$F$37+ (B29-12*'3 ROLL'!$F$41) *'3 ROLL'!$F$38,
IF(B30&lt;=14*'3 ROLL'!$F$41,'3 ROLL'!$F$37+ (B29-13*'3 ROLL'!$F$41) *'3 ROLL'!$F$38,
IF(B30&lt;=15*'3 ROLL'!$F$41,'3 ROLL'!$F$37+ (B29-14*'3 ROLL'!$F$41) *'3 ROLL'!$F$38,
IF(B30&lt;=16*'3 ROLL'!$F$41,'3 ROLL'!$F$37+ (B29-15*'3 ROLL'!$F$41) *'3 ROLL'!$F$38,
IF(B30&lt;=17*'3 ROLL'!$F$41,'3 ROLL'!$F$37+ (B29-16*'3 ROLL'!$F$41) *'3 ROLL'!$F$38,
IF(B30&lt;=18*'3 ROLL'!$F$41,'3 ROLL'!$F$37+ (B29-17*'3 ROLL'!$F$41) *'3 ROLL'!$F$38,
IF(B30&lt;=19*'3 ROLL'!$F$41,'3 ROLL'!$F$37+ (B29-18*'3 ROLL'!$F$41) *'3 ROLL'!$F$38,
IF(B30&lt;=20*'3 ROLL'!$F$41,'3 ROLL'!$F$37+ (B29-19*'3 ROLL'!$F$41) *'3 ROLL'!$F$38, ""
) ) ) ) ) ) ) ) ) ) ) ) ) ) ) ) ) ) ) )</f>
        <v>2.5</v>
      </c>
      <c r="D30" s="105"/>
      <c r="E30" s="111">
        <f>'3 ROLL'!$F$11*'3 ROLL'!$F$9*( ((1+'3 ROLL'!$F$12)^roll!B30 - 1) /'3 ROLL'!$F$12)</f>
        <v>21553710.992620677</v>
      </c>
      <c r="F30" s="111">
        <f>'3 ROLL'!$F$14*'3 ROLL'!$F$9*( ((1+'3 ROLL'!$F$15)^roll!B30 - 1) /'3 ROLL'!$F$15)</f>
        <v>431074219.85241354</v>
      </c>
      <c r="G30" s="111">
        <f>'3 ROLL'!$F$17*'3 ROLL'!$F$9*( ((1+'3 ROLL'!$F$18)^roll!B30 - 1) /'3 ROLL'!$F$18)</f>
        <v>64661.132977862035</v>
      </c>
      <c r="H30" s="111">
        <f>'3 ROLL'!$F$20*'3 ROLL'!$F$9*( ((1+'3 ROLL'!$F$21)^roll!B30 - 1) /'3 ROLL'!$F$21)</f>
        <v>43107.421985241359</v>
      </c>
      <c r="I30" s="109"/>
      <c r="J30" s="48">
        <f t="shared" si="0"/>
        <v>1.0070749999999999</v>
      </c>
      <c r="K30" s="48">
        <f>'3 ROLL'!$F$24*'3 ROLL'!$F$48*roll!J30</f>
        <v>0.65459875000000001</v>
      </c>
      <c r="L30" s="50">
        <f t="shared" si="2"/>
        <v>14109032.273630755</v>
      </c>
      <c r="M30" s="108"/>
      <c r="N30" s="48">
        <f t="shared" si="3"/>
        <v>1.1774249999999999</v>
      </c>
      <c r="O30" s="48">
        <f>'3 ROLL'!$F$27*'3 ROLL'!$F$49*roll!N30</f>
        <v>0.18367829999999999</v>
      </c>
      <c r="P30" s="50">
        <f t="shared" si="4"/>
        <v>79178979.876317561</v>
      </c>
      <c r="Q30" s="106"/>
      <c r="R30" s="48">
        <f t="shared" si="5"/>
        <v>1.1774249999999999</v>
      </c>
      <c r="S30" s="48">
        <f>'3 ROLL'!$F$30*'3 ROLL'!$F$49*roll!R30</f>
        <v>0.12245220000000001</v>
      </c>
      <c r="T30" s="50">
        <f t="shared" si="6"/>
        <v>7917.897987631758</v>
      </c>
      <c r="U30" s="106"/>
      <c r="V30" s="48">
        <f t="shared" si="7"/>
        <v>1.1774249999999999</v>
      </c>
      <c r="W30" s="48">
        <f>'3 ROLL'!$F$33*'3 ROLL'!$F$50*roll!V30</f>
        <v>0</v>
      </c>
      <c r="X30" s="50">
        <f t="shared" si="8"/>
        <v>0</v>
      </c>
    </row>
    <row r="31" spans="2:24" ht="14.5" customHeight="1" x14ac:dyDescent="0.35">
      <c r="B31" s="91">
        <f t="shared" si="1"/>
        <v>27</v>
      </c>
      <c r="C31" s="49">
        <f>IF(B31&lt;='3 ROLL'!$F$41,'3 ROLL'!$F$37+B30*'3 ROLL'!$F$38,
IF(B31&lt;=2*'3 ROLL'!$F$41,'3 ROLL'!$F$37+ (B30-'3 ROLL'!$F$41) *'3 ROLL'!$F$38,
IF(B31&lt;=3*'3 ROLL'!$F$41,'3 ROLL'!$F$37+ (B30-2*'3 ROLL'!$F$41) *'3 ROLL'!$F$38,
IF(B31&lt;=4*'3 ROLL'!$F$41,'3 ROLL'!$F$37+ (B30-3*'3 ROLL'!$F$41) *'3 ROLL'!$F$38,
IF(B31&lt;=5*'3 ROLL'!$F$41,'3 ROLL'!$F$37+ (B30-4*'3 ROLL'!$F$41) *'3 ROLL'!$F$38,
IF(B31&lt;=6*'3 ROLL'!$F$41,'3 ROLL'!$F$37+ (B30-5*'3 ROLL'!$F$41) *'3 ROLL'!$F$38,
IF(B31&lt;=7*'3 ROLL'!$F$41,'3 ROLL'!$F$37+ (B30-6*'3 ROLL'!$F$41) *'3 ROLL'!$F$38,
IF(B31&lt;=8*'3 ROLL'!$F$41,'3 ROLL'!$F$37+ (B30-7*'3 ROLL'!$F$41) *'3 ROLL'!$F$38,
IF(B31&lt;=9*'3 ROLL'!$F$41,'3 ROLL'!$F$37+ (B30-8*'3 ROLL'!$F$41) *'3 ROLL'!$F$38,
IF(B31&lt;=10*'3 ROLL'!$F$41,'3 ROLL'!$F$37+ (B30-9*'3 ROLL'!$F$41) *'3 ROLL'!$F$38,
IF(B31&lt;=11*'3 ROLL'!$F$41,'3 ROLL'!$F$37+ (B30-10*'3 ROLL'!$F$41) *'3 ROLL'!$F$38,
IF(B31&lt;=12*'3 ROLL'!$F$41,'3 ROLL'!$F$37+ (B30-11*'3 ROLL'!$F$41) *'3 ROLL'!$F$38,
IF(B31&lt;=13*'3 ROLL'!$F$41,'3 ROLL'!$F$37+ (B30-12*'3 ROLL'!$F$41) *'3 ROLL'!$F$38,
IF(B31&lt;=14*'3 ROLL'!$F$41,'3 ROLL'!$F$37+ (B30-13*'3 ROLL'!$F$41) *'3 ROLL'!$F$38,
IF(B31&lt;=15*'3 ROLL'!$F$41,'3 ROLL'!$F$37+ (B30-14*'3 ROLL'!$F$41) *'3 ROLL'!$F$38,
IF(B31&lt;=16*'3 ROLL'!$F$41,'3 ROLL'!$F$37+ (B30-15*'3 ROLL'!$F$41) *'3 ROLL'!$F$38,
IF(B31&lt;=17*'3 ROLL'!$F$41,'3 ROLL'!$F$37+ (B30-16*'3 ROLL'!$F$41) *'3 ROLL'!$F$38,
IF(B31&lt;=18*'3 ROLL'!$F$41,'3 ROLL'!$F$37+ (B30-17*'3 ROLL'!$F$41) *'3 ROLL'!$F$38,
IF(B31&lt;=19*'3 ROLL'!$F$41,'3 ROLL'!$F$37+ (B30-18*'3 ROLL'!$F$41) *'3 ROLL'!$F$38,
IF(B31&lt;=20*'3 ROLL'!$F$41,'3 ROLL'!$F$37+ (B30-19*'3 ROLL'!$F$41) *'3 ROLL'!$F$38, ""
) ) ) ) ) ) ) ) ) ) ) ) ) ) ) ) ) ) ) )</f>
        <v>2.6</v>
      </c>
      <c r="D31" s="105"/>
      <c r="E31" s="111">
        <f>'3 ROLL'!$F$11*'3 ROLL'!$F$9*( ((1+'3 ROLL'!$F$12)^roll!B31 - 1) /'3 ROLL'!$F$12)</f>
        <v>22499248.102546852</v>
      </c>
      <c r="F31" s="111">
        <f>'3 ROLL'!$F$14*'3 ROLL'!$F$9*( ((1+'3 ROLL'!$F$15)^roll!B31 - 1) /'3 ROLL'!$F$15)</f>
        <v>449984962.05093706</v>
      </c>
      <c r="G31" s="111">
        <f>'3 ROLL'!$F$17*'3 ROLL'!$F$9*( ((1+'3 ROLL'!$F$18)^roll!B31 - 1) /'3 ROLL'!$F$18)</f>
        <v>67497.744307640562</v>
      </c>
      <c r="H31" s="111">
        <f>'3 ROLL'!$F$20*'3 ROLL'!$F$9*( ((1+'3 ROLL'!$F$21)^roll!B31 - 1) /'3 ROLL'!$F$21)</f>
        <v>44998.49620509371</v>
      </c>
      <c r="I31" s="109"/>
      <c r="J31" s="48">
        <f t="shared" si="0"/>
        <v>1.0092379999999999</v>
      </c>
      <c r="K31" s="48">
        <f>'3 ROLL'!$F$24*'3 ROLL'!$F$48*roll!J31</f>
        <v>0.65600469999999989</v>
      </c>
      <c r="L31" s="50">
        <f t="shared" si="2"/>
        <v>14759612.501736814</v>
      </c>
      <c r="M31" s="108"/>
      <c r="N31" s="48">
        <f t="shared" si="3"/>
        <v>1.1848019999999999</v>
      </c>
      <c r="O31" s="48">
        <f>'3 ROLL'!$F$27*'3 ROLL'!$F$49*roll!N31</f>
        <v>0.18482911199999999</v>
      </c>
      <c r="P31" s="50">
        <f t="shared" si="4"/>
        <v>83170320.949228391</v>
      </c>
      <c r="Q31" s="106"/>
      <c r="R31" s="48">
        <f t="shared" si="5"/>
        <v>1.1848019999999999</v>
      </c>
      <c r="S31" s="48">
        <f>'3 ROLL'!$F$30*'3 ROLL'!$F$49*roll!R31</f>
        <v>0.123219408</v>
      </c>
      <c r="T31" s="50">
        <f t="shared" si="6"/>
        <v>8317.0320949228408</v>
      </c>
      <c r="U31" s="106"/>
      <c r="V31" s="48">
        <f t="shared" si="7"/>
        <v>1.1848019999999999</v>
      </c>
      <c r="W31" s="48">
        <f>'3 ROLL'!$F$33*'3 ROLL'!$F$50*roll!V31</f>
        <v>0</v>
      </c>
      <c r="X31" s="50">
        <f t="shared" si="8"/>
        <v>0</v>
      </c>
    </row>
    <row r="32" spans="2:24" ht="14.5" customHeight="1" x14ac:dyDescent="0.35">
      <c r="B32" s="91">
        <f t="shared" si="1"/>
        <v>28</v>
      </c>
      <c r="C32" s="49">
        <f>IF(B32&lt;='3 ROLL'!$F$41,'3 ROLL'!$F$37+B31*'3 ROLL'!$F$38,
IF(B32&lt;=2*'3 ROLL'!$F$41,'3 ROLL'!$F$37+ (B31-'3 ROLL'!$F$41) *'3 ROLL'!$F$38,
IF(B32&lt;=3*'3 ROLL'!$F$41,'3 ROLL'!$F$37+ (B31-2*'3 ROLL'!$F$41) *'3 ROLL'!$F$38,
IF(B32&lt;=4*'3 ROLL'!$F$41,'3 ROLL'!$F$37+ (B31-3*'3 ROLL'!$F$41) *'3 ROLL'!$F$38,
IF(B32&lt;=5*'3 ROLL'!$F$41,'3 ROLL'!$F$37+ (B31-4*'3 ROLL'!$F$41) *'3 ROLL'!$F$38,
IF(B32&lt;=6*'3 ROLL'!$F$41,'3 ROLL'!$F$37+ (B31-5*'3 ROLL'!$F$41) *'3 ROLL'!$F$38,
IF(B32&lt;=7*'3 ROLL'!$F$41,'3 ROLL'!$F$37+ (B31-6*'3 ROLL'!$F$41) *'3 ROLL'!$F$38,
IF(B32&lt;=8*'3 ROLL'!$F$41,'3 ROLL'!$F$37+ (B31-7*'3 ROLL'!$F$41) *'3 ROLL'!$F$38,
IF(B32&lt;=9*'3 ROLL'!$F$41,'3 ROLL'!$F$37+ (B31-8*'3 ROLL'!$F$41) *'3 ROLL'!$F$38,
IF(B32&lt;=10*'3 ROLL'!$F$41,'3 ROLL'!$F$37+ (B31-9*'3 ROLL'!$F$41) *'3 ROLL'!$F$38,
IF(B32&lt;=11*'3 ROLL'!$F$41,'3 ROLL'!$F$37+ (B31-10*'3 ROLL'!$F$41) *'3 ROLL'!$F$38,
IF(B32&lt;=12*'3 ROLL'!$F$41,'3 ROLL'!$F$37+ (B31-11*'3 ROLL'!$F$41) *'3 ROLL'!$F$38,
IF(B32&lt;=13*'3 ROLL'!$F$41,'3 ROLL'!$F$37+ (B31-12*'3 ROLL'!$F$41) *'3 ROLL'!$F$38,
IF(B32&lt;=14*'3 ROLL'!$F$41,'3 ROLL'!$F$37+ (B31-13*'3 ROLL'!$F$41) *'3 ROLL'!$F$38,
IF(B32&lt;=15*'3 ROLL'!$F$41,'3 ROLL'!$F$37+ (B31-14*'3 ROLL'!$F$41) *'3 ROLL'!$F$38,
IF(B32&lt;=16*'3 ROLL'!$F$41,'3 ROLL'!$F$37+ (B31-15*'3 ROLL'!$F$41) *'3 ROLL'!$F$38,
IF(B32&lt;=17*'3 ROLL'!$F$41,'3 ROLL'!$F$37+ (B31-16*'3 ROLL'!$F$41) *'3 ROLL'!$F$38,
IF(B32&lt;=18*'3 ROLL'!$F$41,'3 ROLL'!$F$37+ (B31-17*'3 ROLL'!$F$41) *'3 ROLL'!$F$38,
IF(B32&lt;=19*'3 ROLL'!$F$41,'3 ROLL'!$F$37+ (B31-18*'3 ROLL'!$F$41) *'3 ROLL'!$F$38,
IF(B32&lt;=20*'3 ROLL'!$F$41,'3 ROLL'!$F$37+ (B31-19*'3 ROLL'!$F$41) *'3 ROLL'!$F$38, ""
) ) ) ) ) ) ) ) ) ) ) ) ) ) ) ) ) ) ) )</f>
        <v>2.7</v>
      </c>
      <c r="D32" s="105"/>
      <c r="E32" s="111">
        <f>'3 ROLL'!$F$11*'3 ROLL'!$F$9*( ((1+'3 ROLL'!$F$12)^roll!B32 - 1) /'3 ROLL'!$F$12)</f>
        <v>23454240.583572332</v>
      </c>
      <c r="F32" s="111">
        <f>'3 ROLL'!$F$14*'3 ROLL'!$F$9*( ((1+'3 ROLL'!$F$15)^roll!B32 - 1) /'3 ROLL'!$F$15)</f>
        <v>469084811.67144662</v>
      </c>
      <c r="G32" s="111">
        <f>'3 ROLL'!$F$17*'3 ROLL'!$F$9*( ((1+'3 ROLL'!$F$18)^roll!B32 - 1) /'3 ROLL'!$F$18)</f>
        <v>70362.721750716999</v>
      </c>
      <c r="H32" s="111">
        <f>'3 ROLL'!$F$20*'3 ROLL'!$F$9*( ((1+'3 ROLL'!$F$21)^roll!B32 - 1) /'3 ROLL'!$F$21)</f>
        <v>46908.481167144666</v>
      </c>
      <c r="I32" s="109"/>
      <c r="J32" s="48">
        <f t="shared" si="0"/>
        <v>1.011401</v>
      </c>
      <c r="K32" s="48">
        <f>'3 ROLL'!$F$24*'3 ROLL'!$F$48*roll!J32</f>
        <v>0.65741064999999999</v>
      </c>
      <c r="L32" s="50">
        <f t="shared" si="2"/>
        <v>15419067.547302665</v>
      </c>
      <c r="M32" s="108"/>
      <c r="N32" s="48">
        <f t="shared" si="3"/>
        <v>1.1921790000000001</v>
      </c>
      <c r="O32" s="48">
        <f>'3 ROLL'!$F$27*'3 ROLL'!$F$49*roll!N32</f>
        <v>0.18597992400000002</v>
      </c>
      <c r="P32" s="50">
        <f t="shared" si="4"/>
        <v>87240357.62420997</v>
      </c>
      <c r="Q32" s="106"/>
      <c r="R32" s="48">
        <f t="shared" si="5"/>
        <v>1.1921790000000001</v>
      </c>
      <c r="S32" s="48">
        <f>'3 ROLL'!$F$30*'3 ROLL'!$F$49*roll!R32</f>
        <v>0.12398661600000002</v>
      </c>
      <c r="T32" s="50">
        <f t="shared" si="6"/>
        <v>8724.0357624209973</v>
      </c>
      <c r="U32" s="106"/>
      <c r="V32" s="48">
        <f t="shared" si="7"/>
        <v>1.1921790000000001</v>
      </c>
      <c r="W32" s="48">
        <f>'3 ROLL'!$F$33*'3 ROLL'!$F$50*roll!V32</f>
        <v>0</v>
      </c>
      <c r="X32" s="50">
        <f t="shared" si="8"/>
        <v>0</v>
      </c>
    </row>
    <row r="33" spans="2:24" ht="14.5" customHeight="1" x14ac:dyDescent="0.35">
      <c r="B33" s="91">
        <f t="shared" si="1"/>
        <v>29</v>
      </c>
      <c r="C33" s="49">
        <f>IF(B33&lt;='3 ROLL'!$F$41,'3 ROLL'!$F$37+B32*'3 ROLL'!$F$38,
IF(B33&lt;=2*'3 ROLL'!$F$41,'3 ROLL'!$F$37+ (B32-'3 ROLL'!$F$41) *'3 ROLL'!$F$38,
IF(B33&lt;=3*'3 ROLL'!$F$41,'3 ROLL'!$F$37+ (B32-2*'3 ROLL'!$F$41) *'3 ROLL'!$F$38,
IF(B33&lt;=4*'3 ROLL'!$F$41,'3 ROLL'!$F$37+ (B32-3*'3 ROLL'!$F$41) *'3 ROLL'!$F$38,
IF(B33&lt;=5*'3 ROLL'!$F$41,'3 ROLL'!$F$37+ (B32-4*'3 ROLL'!$F$41) *'3 ROLL'!$F$38,
IF(B33&lt;=6*'3 ROLL'!$F$41,'3 ROLL'!$F$37+ (B32-5*'3 ROLL'!$F$41) *'3 ROLL'!$F$38,
IF(B33&lt;=7*'3 ROLL'!$F$41,'3 ROLL'!$F$37+ (B32-6*'3 ROLL'!$F$41) *'3 ROLL'!$F$38,
IF(B33&lt;=8*'3 ROLL'!$F$41,'3 ROLL'!$F$37+ (B32-7*'3 ROLL'!$F$41) *'3 ROLL'!$F$38,
IF(B33&lt;=9*'3 ROLL'!$F$41,'3 ROLL'!$F$37+ (B32-8*'3 ROLL'!$F$41) *'3 ROLL'!$F$38,
IF(B33&lt;=10*'3 ROLL'!$F$41,'3 ROLL'!$F$37+ (B32-9*'3 ROLL'!$F$41) *'3 ROLL'!$F$38,
IF(B33&lt;=11*'3 ROLL'!$F$41,'3 ROLL'!$F$37+ (B32-10*'3 ROLL'!$F$41) *'3 ROLL'!$F$38,
IF(B33&lt;=12*'3 ROLL'!$F$41,'3 ROLL'!$F$37+ (B32-11*'3 ROLL'!$F$41) *'3 ROLL'!$F$38,
IF(B33&lt;=13*'3 ROLL'!$F$41,'3 ROLL'!$F$37+ (B32-12*'3 ROLL'!$F$41) *'3 ROLL'!$F$38,
IF(B33&lt;=14*'3 ROLL'!$F$41,'3 ROLL'!$F$37+ (B32-13*'3 ROLL'!$F$41) *'3 ROLL'!$F$38,
IF(B33&lt;=15*'3 ROLL'!$F$41,'3 ROLL'!$F$37+ (B32-14*'3 ROLL'!$F$41) *'3 ROLL'!$F$38,
IF(B33&lt;=16*'3 ROLL'!$F$41,'3 ROLL'!$F$37+ (B32-15*'3 ROLL'!$F$41) *'3 ROLL'!$F$38,
IF(B33&lt;=17*'3 ROLL'!$F$41,'3 ROLL'!$F$37+ (B32-16*'3 ROLL'!$F$41) *'3 ROLL'!$F$38,
IF(B33&lt;=18*'3 ROLL'!$F$41,'3 ROLL'!$F$37+ (B32-17*'3 ROLL'!$F$41) *'3 ROLL'!$F$38,
IF(B33&lt;=19*'3 ROLL'!$F$41,'3 ROLL'!$F$37+ (B32-18*'3 ROLL'!$F$41) *'3 ROLL'!$F$38,
IF(B33&lt;=20*'3 ROLL'!$F$41,'3 ROLL'!$F$37+ (B32-19*'3 ROLL'!$F$41) *'3 ROLL'!$F$38, ""
) ) ) ) ) ) ) ) ) ) ) ) ) ) ) ) ) ) ) )</f>
        <v>2.8</v>
      </c>
      <c r="D33" s="105"/>
      <c r="E33" s="111">
        <f>'3 ROLL'!$F$11*'3 ROLL'!$F$9*( ((1+'3 ROLL'!$F$12)^roll!B33 - 1) /'3 ROLL'!$F$12)</f>
        <v>24418782.989408057</v>
      </c>
      <c r="F33" s="111">
        <f>'3 ROLL'!$F$14*'3 ROLL'!$F$9*( ((1+'3 ROLL'!$F$15)^roll!B33 - 1) /'3 ROLL'!$F$15)</f>
        <v>488375659.7881611</v>
      </c>
      <c r="G33" s="111">
        <f>'3 ROLL'!$F$17*'3 ROLL'!$F$9*( ((1+'3 ROLL'!$F$18)^roll!B33 - 1) /'3 ROLL'!$F$18)</f>
        <v>73256.348968224163</v>
      </c>
      <c r="H33" s="111">
        <f>'3 ROLL'!$F$20*'3 ROLL'!$F$9*( ((1+'3 ROLL'!$F$21)^roll!B33 - 1) /'3 ROLL'!$F$21)</f>
        <v>48837.565978816114</v>
      </c>
      <c r="I33" s="109"/>
      <c r="J33" s="48">
        <f t="shared" si="0"/>
        <v>1.0135639999999999</v>
      </c>
      <c r="K33" s="48">
        <f>'3 ROLL'!$F$24*'3 ROLL'!$F$48*roll!J33</f>
        <v>0.65881659999999997</v>
      </c>
      <c r="L33" s="50">
        <f t="shared" si="2"/>
        <v>16087499.585219651</v>
      </c>
      <c r="M33" s="108"/>
      <c r="N33" s="48">
        <f t="shared" si="3"/>
        <v>1.1995560000000001</v>
      </c>
      <c r="O33" s="48">
        <f>'3 ROLL'!$F$27*'3 ROLL'!$F$49*roll!N33</f>
        <v>0.18713073600000002</v>
      </c>
      <c r="P33" s="50">
        <f t="shared" si="4"/>
        <v>91390096.660644203</v>
      </c>
      <c r="Q33" s="106"/>
      <c r="R33" s="48">
        <f t="shared" si="5"/>
        <v>1.1995560000000001</v>
      </c>
      <c r="S33" s="48">
        <f>'3 ROLL'!$F$30*'3 ROLL'!$F$49*roll!R33</f>
        <v>0.12475382400000001</v>
      </c>
      <c r="T33" s="50">
        <f t="shared" si="6"/>
        <v>9139.0096660644194</v>
      </c>
      <c r="U33" s="106"/>
      <c r="V33" s="48">
        <f t="shared" si="7"/>
        <v>1.1995560000000001</v>
      </c>
      <c r="W33" s="48">
        <f>'3 ROLL'!$F$33*'3 ROLL'!$F$50*roll!V33</f>
        <v>0</v>
      </c>
      <c r="X33" s="50">
        <f t="shared" si="8"/>
        <v>0</v>
      </c>
    </row>
    <row r="34" spans="2:24" ht="14.5" customHeight="1" x14ac:dyDescent="0.35">
      <c r="B34" s="91">
        <f t="shared" si="1"/>
        <v>30</v>
      </c>
      <c r="C34" s="49">
        <f>IF(B34&lt;='3 ROLL'!$F$41,'3 ROLL'!$F$37+B33*'3 ROLL'!$F$38,
IF(B34&lt;=2*'3 ROLL'!$F$41,'3 ROLL'!$F$37+ (B33-'3 ROLL'!$F$41) *'3 ROLL'!$F$38,
IF(B34&lt;=3*'3 ROLL'!$F$41,'3 ROLL'!$F$37+ (B33-2*'3 ROLL'!$F$41) *'3 ROLL'!$F$38,
IF(B34&lt;=4*'3 ROLL'!$F$41,'3 ROLL'!$F$37+ (B33-3*'3 ROLL'!$F$41) *'3 ROLL'!$F$38,
IF(B34&lt;=5*'3 ROLL'!$F$41,'3 ROLL'!$F$37+ (B33-4*'3 ROLL'!$F$41) *'3 ROLL'!$F$38,
IF(B34&lt;=6*'3 ROLL'!$F$41,'3 ROLL'!$F$37+ (B33-5*'3 ROLL'!$F$41) *'3 ROLL'!$F$38,
IF(B34&lt;=7*'3 ROLL'!$F$41,'3 ROLL'!$F$37+ (B33-6*'3 ROLL'!$F$41) *'3 ROLL'!$F$38,
IF(B34&lt;=8*'3 ROLL'!$F$41,'3 ROLL'!$F$37+ (B33-7*'3 ROLL'!$F$41) *'3 ROLL'!$F$38,
IF(B34&lt;=9*'3 ROLL'!$F$41,'3 ROLL'!$F$37+ (B33-8*'3 ROLL'!$F$41) *'3 ROLL'!$F$38,
IF(B34&lt;=10*'3 ROLL'!$F$41,'3 ROLL'!$F$37+ (B33-9*'3 ROLL'!$F$41) *'3 ROLL'!$F$38,
IF(B34&lt;=11*'3 ROLL'!$F$41,'3 ROLL'!$F$37+ (B33-10*'3 ROLL'!$F$41) *'3 ROLL'!$F$38,
IF(B34&lt;=12*'3 ROLL'!$F$41,'3 ROLL'!$F$37+ (B33-11*'3 ROLL'!$F$41) *'3 ROLL'!$F$38,
IF(B34&lt;=13*'3 ROLL'!$F$41,'3 ROLL'!$F$37+ (B33-12*'3 ROLL'!$F$41) *'3 ROLL'!$F$38,
IF(B34&lt;=14*'3 ROLL'!$F$41,'3 ROLL'!$F$37+ (B33-13*'3 ROLL'!$F$41) *'3 ROLL'!$F$38,
IF(B34&lt;=15*'3 ROLL'!$F$41,'3 ROLL'!$F$37+ (B33-14*'3 ROLL'!$F$41) *'3 ROLL'!$F$38,
IF(B34&lt;=16*'3 ROLL'!$F$41,'3 ROLL'!$F$37+ (B33-15*'3 ROLL'!$F$41) *'3 ROLL'!$F$38,
IF(B34&lt;=17*'3 ROLL'!$F$41,'3 ROLL'!$F$37+ (B33-16*'3 ROLL'!$F$41) *'3 ROLL'!$F$38,
IF(B34&lt;=18*'3 ROLL'!$F$41,'3 ROLL'!$F$37+ (B33-17*'3 ROLL'!$F$41) *'3 ROLL'!$F$38,
IF(B34&lt;=19*'3 ROLL'!$F$41,'3 ROLL'!$F$37+ (B33-18*'3 ROLL'!$F$41) *'3 ROLL'!$F$38,
IF(B34&lt;=20*'3 ROLL'!$F$41,'3 ROLL'!$F$37+ (B33-19*'3 ROLL'!$F$41) *'3 ROLL'!$F$38, ""
) ) ) ) ) ) ) ) ) ) ) ) ) ) ) ) ) ) ) )</f>
        <v>2.9</v>
      </c>
      <c r="D34" s="105"/>
      <c r="E34" s="111">
        <f>'3 ROLL'!$F$11*'3 ROLL'!$F$9*( ((1+'3 ROLL'!$F$12)^roll!B34 - 1) /'3 ROLL'!$F$12)</f>
        <v>25392970.819302157</v>
      </c>
      <c r="F34" s="111">
        <f>'3 ROLL'!$F$14*'3 ROLL'!$F$9*( ((1+'3 ROLL'!$F$15)^roll!B34 - 1) /'3 ROLL'!$F$15)</f>
        <v>507859416.38604313</v>
      </c>
      <c r="G34" s="111">
        <f>'3 ROLL'!$F$17*'3 ROLL'!$F$9*( ((1+'3 ROLL'!$F$18)^roll!B34 - 1) /'3 ROLL'!$F$18)</f>
        <v>76178.912457906466</v>
      </c>
      <c r="H34" s="111">
        <f>'3 ROLL'!$F$20*'3 ROLL'!$F$9*( ((1+'3 ROLL'!$F$21)^roll!B34 - 1) /'3 ROLL'!$F$21)</f>
        <v>50785.941638604316</v>
      </c>
      <c r="I34" s="109"/>
      <c r="J34" s="48">
        <f t="shared" si="0"/>
        <v>1.015727</v>
      </c>
      <c r="K34" s="48">
        <f>'3 ROLL'!$F$24*'3 ROLL'!$F$48*roll!J34</f>
        <v>0.66022255000000007</v>
      </c>
      <c r="L34" s="50">
        <f t="shared" si="2"/>
        <v>16765011.946395261</v>
      </c>
      <c r="M34" s="108"/>
      <c r="N34" s="48">
        <f t="shared" si="3"/>
        <v>1.206933</v>
      </c>
      <c r="O34" s="48">
        <f>'3 ROLL'!$F$27*'3 ROLL'!$F$49*roll!N34</f>
        <v>0.18828154799999999</v>
      </c>
      <c r="P34" s="50">
        <f t="shared" si="4"/>
        <v>95620557.083540767</v>
      </c>
      <c r="Q34" s="106"/>
      <c r="R34" s="48">
        <f t="shared" si="5"/>
        <v>1.206933</v>
      </c>
      <c r="S34" s="48">
        <f>'3 ROLL'!$F$30*'3 ROLL'!$F$49*roll!R34</f>
        <v>0.125521032</v>
      </c>
      <c r="T34" s="50">
        <f t="shared" si="6"/>
        <v>9562.0557083540771</v>
      </c>
      <c r="U34" s="106"/>
      <c r="V34" s="48">
        <f t="shared" si="7"/>
        <v>1.206933</v>
      </c>
      <c r="W34" s="48">
        <f>'3 ROLL'!$F$33*'3 ROLL'!$F$50*roll!V34</f>
        <v>0</v>
      </c>
      <c r="X34" s="50">
        <f t="shared" si="8"/>
        <v>0</v>
      </c>
    </row>
    <row r="35" spans="2:24" ht="14.5" customHeight="1" x14ac:dyDescent="0.35">
      <c r="B35" s="91">
        <f t="shared" si="1"/>
        <v>31</v>
      </c>
      <c r="C35" s="49">
        <f>IF(B35&lt;='3 ROLL'!$F$41,'3 ROLL'!$F$37+B34*'3 ROLL'!$F$38,
IF(B35&lt;=2*'3 ROLL'!$F$41,'3 ROLL'!$F$37+ (B34-'3 ROLL'!$F$41) *'3 ROLL'!$F$38,
IF(B35&lt;=3*'3 ROLL'!$F$41,'3 ROLL'!$F$37+ (B34-2*'3 ROLL'!$F$41) *'3 ROLL'!$F$38,
IF(B35&lt;=4*'3 ROLL'!$F$41,'3 ROLL'!$F$37+ (B34-3*'3 ROLL'!$F$41) *'3 ROLL'!$F$38,
IF(B35&lt;=5*'3 ROLL'!$F$41,'3 ROLL'!$F$37+ (B34-4*'3 ROLL'!$F$41) *'3 ROLL'!$F$38,
IF(B35&lt;=6*'3 ROLL'!$F$41,'3 ROLL'!$F$37+ (B34-5*'3 ROLL'!$F$41) *'3 ROLL'!$F$38,
IF(B35&lt;=7*'3 ROLL'!$F$41,'3 ROLL'!$F$37+ (B34-6*'3 ROLL'!$F$41) *'3 ROLL'!$F$38,
IF(B35&lt;=8*'3 ROLL'!$F$41,'3 ROLL'!$F$37+ (B34-7*'3 ROLL'!$F$41) *'3 ROLL'!$F$38,
IF(B35&lt;=9*'3 ROLL'!$F$41,'3 ROLL'!$F$37+ (B34-8*'3 ROLL'!$F$41) *'3 ROLL'!$F$38,
IF(B35&lt;=10*'3 ROLL'!$F$41,'3 ROLL'!$F$37+ (B34-9*'3 ROLL'!$F$41) *'3 ROLL'!$F$38,
IF(B35&lt;=11*'3 ROLL'!$F$41,'3 ROLL'!$F$37+ (B34-10*'3 ROLL'!$F$41) *'3 ROLL'!$F$38,
IF(B35&lt;=12*'3 ROLL'!$F$41,'3 ROLL'!$F$37+ (B34-11*'3 ROLL'!$F$41) *'3 ROLL'!$F$38,
IF(B35&lt;=13*'3 ROLL'!$F$41,'3 ROLL'!$F$37+ (B34-12*'3 ROLL'!$F$41) *'3 ROLL'!$F$38,
IF(B35&lt;=14*'3 ROLL'!$F$41,'3 ROLL'!$F$37+ (B34-13*'3 ROLL'!$F$41) *'3 ROLL'!$F$38,
IF(B35&lt;=15*'3 ROLL'!$F$41,'3 ROLL'!$F$37+ (B34-14*'3 ROLL'!$F$41) *'3 ROLL'!$F$38,
IF(B35&lt;=16*'3 ROLL'!$F$41,'3 ROLL'!$F$37+ (B34-15*'3 ROLL'!$F$41) *'3 ROLL'!$F$38,
IF(B35&lt;=17*'3 ROLL'!$F$41,'3 ROLL'!$F$37+ (B34-16*'3 ROLL'!$F$41) *'3 ROLL'!$F$38,
IF(B35&lt;=18*'3 ROLL'!$F$41,'3 ROLL'!$F$37+ (B34-17*'3 ROLL'!$F$41) *'3 ROLL'!$F$38,
IF(B35&lt;=19*'3 ROLL'!$F$41,'3 ROLL'!$F$37+ (B34-18*'3 ROLL'!$F$41) *'3 ROLL'!$F$38,
IF(B35&lt;=20*'3 ROLL'!$F$41,'3 ROLL'!$F$37+ (B34-19*'3 ROLL'!$F$41) *'3 ROLL'!$F$38, ""
) ) ) ) ) ) ) ) ) ) ) ) ) ) ) ) ) ) ) )</f>
        <v>3</v>
      </c>
      <c r="D35" s="105"/>
      <c r="E35" s="111">
        <f>'3 ROLL'!$F$11*'3 ROLL'!$F$9*( ((1+'3 ROLL'!$F$12)^roll!B35 - 1) /'3 ROLL'!$F$12)</f>
        <v>26376900.527495146</v>
      </c>
      <c r="F35" s="111">
        <f>'3 ROLL'!$F$14*'3 ROLL'!$F$9*( ((1+'3 ROLL'!$F$15)^roll!B35 - 1) /'3 ROLL'!$F$15)</f>
        <v>527538010.54990292</v>
      </c>
      <c r="G35" s="111">
        <f>'3 ROLL'!$F$17*'3 ROLL'!$F$9*( ((1+'3 ROLL'!$F$18)^roll!B35 - 1) /'3 ROLL'!$F$18)</f>
        <v>79130.701582485432</v>
      </c>
      <c r="H35" s="111">
        <f>'3 ROLL'!$F$20*'3 ROLL'!$F$9*( ((1+'3 ROLL'!$F$21)^roll!B35 - 1) /'3 ROLL'!$F$21)</f>
        <v>52753.80105499029</v>
      </c>
      <c r="I35" s="109"/>
      <c r="J35" s="48">
        <f t="shared" si="0"/>
        <v>1.01789</v>
      </c>
      <c r="K35" s="48">
        <f>'3 ROLL'!$F$24*'3 ROLL'!$F$48*roll!J35</f>
        <v>0.66162849999999995</v>
      </c>
      <c r="L35" s="50">
        <f t="shared" si="2"/>
        <v>17451709.130655821</v>
      </c>
      <c r="M35" s="108"/>
      <c r="N35" s="48">
        <f t="shared" si="3"/>
        <v>1.21431</v>
      </c>
      <c r="O35" s="48">
        <f>'3 ROLL'!$F$27*'3 ROLL'!$F$49*roll!N35</f>
        <v>0.18943235999999999</v>
      </c>
      <c r="P35" s="50">
        <f t="shared" si="4"/>
        <v>99932770.328172997</v>
      </c>
      <c r="Q35" s="106"/>
      <c r="R35" s="48">
        <f t="shared" si="5"/>
        <v>1.21431</v>
      </c>
      <c r="S35" s="48">
        <f>'3 ROLL'!$F$30*'3 ROLL'!$F$49*roll!R35</f>
        <v>0.12628824000000002</v>
      </c>
      <c r="T35" s="50">
        <f t="shared" si="6"/>
        <v>9993.277032817301</v>
      </c>
      <c r="U35" s="106"/>
      <c r="V35" s="48">
        <f t="shared" si="7"/>
        <v>1.21431</v>
      </c>
      <c r="W35" s="48">
        <f>'3 ROLL'!$F$33*'3 ROLL'!$F$50*roll!V35</f>
        <v>0</v>
      </c>
      <c r="X35" s="50">
        <f t="shared" si="8"/>
        <v>0</v>
      </c>
    </row>
    <row r="36" spans="2:24" ht="14.5" customHeight="1" x14ac:dyDescent="0.35">
      <c r="B36" s="91">
        <f t="shared" si="1"/>
        <v>32</v>
      </c>
      <c r="C36" s="49">
        <f>IF(B36&lt;='3 ROLL'!$F$41,'3 ROLL'!$F$37+B35*'3 ROLL'!$F$38,
IF(B36&lt;=2*'3 ROLL'!$F$41,'3 ROLL'!$F$37+ (B35-'3 ROLL'!$F$41) *'3 ROLL'!$F$38,
IF(B36&lt;=3*'3 ROLL'!$F$41,'3 ROLL'!$F$37+ (B35-2*'3 ROLL'!$F$41) *'3 ROLL'!$F$38,
IF(B36&lt;=4*'3 ROLL'!$F$41,'3 ROLL'!$F$37+ (B35-3*'3 ROLL'!$F$41) *'3 ROLL'!$F$38,
IF(B36&lt;=5*'3 ROLL'!$F$41,'3 ROLL'!$F$37+ (B35-4*'3 ROLL'!$F$41) *'3 ROLL'!$F$38,
IF(B36&lt;=6*'3 ROLL'!$F$41,'3 ROLL'!$F$37+ (B35-5*'3 ROLL'!$F$41) *'3 ROLL'!$F$38,
IF(B36&lt;=7*'3 ROLL'!$F$41,'3 ROLL'!$F$37+ (B35-6*'3 ROLL'!$F$41) *'3 ROLL'!$F$38,
IF(B36&lt;=8*'3 ROLL'!$F$41,'3 ROLL'!$F$37+ (B35-7*'3 ROLL'!$F$41) *'3 ROLL'!$F$38,
IF(B36&lt;=9*'3 ROLL'!$F$41,'3 ROLL'!$F$37+ (B35-8*'3 ROLL'!$F$41) *'3 ROLL'!$F$38,
IF(B36&lt;=10*'3 ROLL'!$F$41,'3 ROLL'!$F$37+ (B35-9*'3 ROLL'!$F$41) *'3 ROLL'!$F$38,
IF(B36&lt;=11*'3 ROLL'!$F$41,'3 ROLL'!$F$37+ (B35-10*'3 ROLL'!$F$41) *'3 ROLL'!$F$38,
IF(B36&lt;=12*'3 ROLL'!$F$41,'3 ROLL'!$F$37+ (B35-11*'3 ROLL'!$F$41) *'3 ROLL'!$F$38,
IF(B36&lt;=13*'3 ROLL'!$F$41,'3 ROLL'!$F$37+ (B35-12*'3 ROLL'!$F$41) *'3 ROLL'!$F$38,
IF(B36&lt;=14*'3 ROLL'!$F$41,'3 ROLL'!$F$37+ (B35-13*'3 ROLL'!$F$41) *'3 ROLL'!$F$38,
IF(B36&lt;=15*'3 ROLL'!$F$41,'3 ROLL'!$F$37+ (B35-14*'3 ROLL'!$F$41) *'3 ROLL'!$F$38,
IF(B36&lt;=16*'3 ROLL'!$F$41,'3 ROLL'!$F$37+ (B35-15*'3 ROLL'!$F$41) *'3 ROLL'!$F$38,
IF(B36&lt;=17*'3 ROLL'!$F$41,'3 ROLL'!$F$37+ (B35-16*'3 ROLL'!$F$41) *'3 ROLL'!$F$38,
IF(B36&lt;=18*'3 ROLL'!$F$41,'3 ROLL'!$F$37+ (B35-17*'3 ROLL'!$F$41) *'3 ROLL'!$F$38,
IF(B36&lt;=19*'3 ROLL'!$F$41,'3 ROLL'!$F$37+ (B35-18*'3 ROLL'!$F$41) *'3 ROLL'!$F$38,
IF(B36&lt;=20*'3 ROLL'!$F$41,'3 ROLL'!$F$37+ (B35-19*'3 ROLL'!$F$41) *'3 ROLL'!$F$38, ""
) ) ) ) ) ) ) ) ) ) ) ) ) ) ) ) ) ) ) )</f>
        <v>3.1</v>
      </c>
      <c r="D36" s="105"/>
      <c r="E36" s="111">
        <f>'3 ROLL'!$F$11*'3 ROLL'!$F$9*( ((1+'3 ROLL'!$F$12)^roll!B36 - 1) /'3 ROLL'!$F$12)</f>
        <v>27370669.53277012</v>
      </c>
      <c r="F36" s="111">
        <f>'3 ROLL'!$F$14*'3 ROLL'!$F$9*( ((1+'3 ROLL'!$F$15)^roll!B36 - 1) /'3 ROLL'!$F$15)</f>
        <v>547413390.65540242</v>
      </c>
      <c r="G36" s="111">
        <f>'3 ROLL'!$F$17*'3 ROLL'!$F$9*( ((1+'3 ROLL'!$F$18)^roll!B36 - 1) /'3 ROLL'!$F$18)</f>
        <v>82112.008598310364</v>
      </c>
      <c r="H36" s="111">
        <f>'3 ROLL'!$F$20*'3 ROLL'!$F$9*( ((1+'3 ROLL'!$F$21)^roll!B36 - 1) /'3 ROLL'!$F$21)</f>
        <v>54741.33906554024</v>
      </c>
      <c r="I36" s="109"/>
      <c r="J36" s="48">
        <f t="shared" si="0"/>
        <v>1.0200529999999999</v>
      </c>
      <c r="K36" s="48">
        <f>'3 ROLL'!$F$24*'3 ROLL'!$F$48*roll!J36</f>
        <v>0.66303444999999994</v>
      </c>
      <c r="L36" s="50">
        <f t="shared" si="2"/>
        <v>18147696.819791991</v>
      </c>
      <c r="M36" s="108"/>
      <c r="N36" s="48">
        <f t="shared" si="3"/>
        <v>1.221687</v>
      </c>
      <c r="O36" s="48">
        <f>'3 ROLL'!$F$27*'3 ROLL'!$F$49*roll!N36</f>
        <v>0.190583172</v>
      </c>
      <c r="P36" s="50">
        <f t="shared" si="4"/>
        <v>104327780.38638175</v>
      </c>
      <c r="Q36" s="106"/>
      <c r="R36" s="48">
        <f t="shared" si="5"/>
        <v>1.221687</v>
      </c>
      <c r="S36" s="48">
        <f>'3 ROLL'!$F$30*'3 ROLL'!$F$49*roll!R36</f>
        <v>0.12705544800000002</v>
      </c>
      <c r="T36" s="50">
        <f t="shared" si="6"/>
        <v>10432.778038638176</v>
      </c>
      <c r="U36" s="106"/>
      <c r="V36" s="48">
        <f t="shared" si="7"/>
        <v>1.221687</v>
      </c>
      <c r="W36" s="48">
        <f>'3 ROLL'!$F$33*'3 ROLL'!$F$50*roll!V36</f>
        <v>0</v>
      </c>
      <c r="X36" s="50">
        <f t="shared" si="8"/>
        <v>0</v>
      </c>
    </row>
    <row r="37" spans="2:24" ht="14.5" customHeight="1" x14ac:dyDescent="0.35">
      <c r="B37" s="91">
        <f t="shared" si="1"/>
        <v>33</v>
      </c>
      <c r="C37" s="49">
        <f>IF(B37&lt;='3 ROLL'!$F$41,'3 ROLL'!$F$37+B36*'3 ROLL'!$F$38,
IF(B37&lt;=2*'3 ROLL'!$F$41,'3 ROLL'!$F$37+ (B36-'3 ROLL'!$F$41) *'3 ROLL'!$F$38,
IF(B37&lt;=3*'3 ROLL'!$F$41,'3 ROLL'!$F$37+ (B36-2*'3 ROLL'!$F$41) *'3 ROLL'!$F$38,
IF(B37&lt;=4*'3 ROLL'!$F$41,'3 ROLL'!$F$37+ (B36-3*'3 ROLL'!$F$41) *'3 ROLL'!$F$38,
IF(B37&lt;=5*'3 ROLL'!$F$41,'3 ROLL'!$F$37+ (B36-4*'3 ROLL'!$F$41) *'3 ROLL'!$F$38,
IF(B37&lt;=6*'3 ROLL'!$F$41,'3 ROLL'!$F$37+ (B36-5*'3 ROLL'!$F$41) *'3 ROLL'!$F$38,
IF(B37&lt;=7*'3 ROLL'!$F$41,'3 ROLL'!$F$37+ (B36-6*'3 ROLL'!$F$41) *'3 ROLL'!$F$38,
IF(B37&lt;=8*'3 ROLL'!$F$41,'3 ROLL'!$F$37+ (B36-7*'3 ROLL'!$F$41) *'3 ROLL'!$F$38,
IF(B37&lt;=9*'3 ROLL'!$F$41,'3 ROLL'!$F$37+ (B36-8*'3 ROLL'!$F$41) *'3 ROLL'!$F$38,
IF(B37&lt;=10*'3 ROLL'!$F$41,'3 ROLL'!$F$37+ (B36-9*'3 ROLL'!$F$41) *'3 ROLL'!$F$38,
IF(B37&lt;=11*'3 ROLL'!$F$41,'3 ROLL'!$F$37+ (B36-10*'3 ROLL'!$F$41) *'3 ROLL'!$F$38,
IF(B37&lt;=12*'3 ROLL'!$F$41,'3 ROLL'!$F$37+ (B36-11*'3 ROLL'!$F$41) *'3 ROLL'!$F$38,
IF(B37&lt;=13*'3 ROLL'!$F$41,'3 ROLL'!$F$37+ (B36-12*'3 ROLL'!$F$41) *'3 ROLL'!$F$38,
IF(B37&lt;=14*'3 ROLL'!$F$41,'3 ROLL'!$F$37+ (B36-13*'3 ROLL'!$F$41) *'3 ROLL'!$F$38,
IF(B37&lt;=15*'3 ROLL'!$F$41,'3 ROLL'!$F$37+ (B36-14*'3 ROLL'!$F$41) *'3 ROLL'!$F$38,
IF(B37&lt;=16*'3 ROLL'!$F$41,'3 ROLL'!$F$37+ (B36-15*'3 ROLL'!$F$41) *'3 ROLL'!$F$38,
IF(B37&lt;=17*'3 ROLL'!$F$41,'3 ROLL'!$F$37+ (B36-16*'3 ROLL'!$F$41) *'3 ROLL'!$F$38,
IF(B37&lt;=18*'3 ROLL'!$F$41,'3 ROLL'!$F$37+ (B36-17*'3 ROLL'!$F$41) *'3 ROLL'!$F$38,
IF(B37&lt;=19*'3 ROLL'!$F$41,'3 ROLL'!$F$37+ (B36-18*'3 ROLL'!$F$41) *'3 ROLL'!$F$38,
IF(B37&lt;=20*'3 ROLL'!$F$41,'3 ROLL'!$F$37+ (B36-19*'3 ROLL'!$F$41) *'3 ROLL'!$F$38, ""
) ) ) ) ) ) ) ) ) ) ) ) ) ) ) ) ) ) ) )</f>
        <v>3.2</v>
      </c>
      <c r="D37" s="105"/>
      <c r="E37" s="111">
        <f>'3 ROLL'!$F$11*'3 ROLL'!$F$9*( ((1+'3 ROLL'!$F$12)^roll!B37 - 1) /'3 ROLL'!$F$12)</f>
        <v>28374376.228097826</v>
      </c>
      <c r="F37" s="111">
        <f>'3 ROLL'!$F$14*'3 ROLL'!$F$9*( ((1+'3 ROLL'!$F$15)^roll!B37 - 1) /'3 ROLL'!$F$15)</f>
        <v>567487524.56195652</v>
      </c>
      <c r="G37" s="111">
        <f>'3 ROLL'!$F$17*'3 ROLL'!$F$9*( ((1+'3 ROLL'!$F$18)^roll!B37 - 1) /'3 ROLL'!$F$18)</f>
        <v>85123.128684293479</v>
      </c>
      <c r="H37" s="111">
        <f>'3 ROLL'!$F$20*'3 ROLL'!$F$9*( ((1+'3 ROLL'!$F$21)^roll!B37 - 1) /'3 ROLL'!$F$21)</f>
        <v>56748.752456195652</v>
      </c>
      <c r="I37" s="109"/>
      <c r="J37" s="48">
        <f t="shared" ref="J37:J54" si="9">IF(0.02163*C37+0.953&lt;=1,1,0.02163*C37+0.953)</f>
        <v>1.022216</v>
      </c>
      <c r="K37" s="48">
        <f>'3 ROLL'!$F$24*'3 ROLL'!$F$48*roll!J37</f>
        <v>0.66444040000000004</v>
      </c>
      <c r="L37" s="50">
        <f t="shared" si="2"/>
        <v>18853081.890747812</v>
      </c>
      <c r="M37" s="108"/>
      <c r="N37" s="48">
        <f t="shared" si="3"/>
        <v>1.2290639999999999</v>
      </c>
      <c r="O37" s="48">
        <f>'3 ROLL'!$F$27*'3 ROLL'!$F$49*roll!N37</f>
        <v>0.191733984</v>
      </c>
      <c r="P37" s="50">
        <f t="shared" si="4"/>
        <v>108806643.95456177</v>
      </c>
      <c r="Q37" s="106"/>
      <c r="R37" s="48">
        <f t="shared" si="5"/>
        <v>1.2290639999999999</v>
      </c>
      <c r="S37" s="48">
        <f>'3 ROLL'!$F$30*'3 ROLL'!$F$49*roll!R37</f>
        <v>0.12782265600000001</v>
      </c>
      <c r="T37" s="50">
        <f t="shared" si="6"/>
        <v>10880.664395456179</v>
      </c>
      <c r="U37" s="106"/>
      <c r="V37" s="48">
        <f t="shared" si="7"/>
        <v>1.2290639999999999</v>
      </c>
      <c r="W37" s="48">
        <f>'3 ROLL'!$F$33*'3 ROLL'!$F$50*roll!V37</f>
        <v>0</v>
      </c>
      <c r="X37" s="50">
        <f t="shared" si="8"/>
        <v>0</v>
      </c>
    </row>
    <row r="38" spans="2:24" ht="14.5" customHeight="1" x14ac:dyDescent="0.35">
      <c r="B38" s="91">
        <f t="shared" si="1"/>
        <v>34</v>
      </c>
      <c r="C38" s="49">
        <f>IF(B38&lt;='3 ROLL'!$F$41,'3 ROLL'!$F$37+B37*'3 ROLL'!$F$38,
IF(B38&lt;=2*'3 ROLL'!$F$41,'3 ROLL'!$F$37+ (B37-'3 ROLL'!$F$41) *'3 ROLL'!$F$38,
IF(B38&lt;=3*'3 ROLL'!$F$41,'3 ROLL'!$F$37+ (B37-2*'3 ROLL'!$F$41) *'3 ROLL'!$F$38,
IF(B38&lt;=4*'3 ROLL'!$F$41,'3 ROLL'!$F$37+ (B37-3*'3 ROLL'!$F$41) *'3 ROLL'!$F$38,
IF(B38&lt;=5*'3 ROLL'!$F$41,'3 ROLL'!$F$37+ (B37-4*'3 ROLL'!$F$41) *'3 ROLL'!$F$38,
IF(B38&lt;=6*'3 ROLL'!$F$41,'3 ROLL'!$F$37+ (B37-5*'3 ROLL'!$F$41) *'3 ROLL'!$F$38,
IF(B38&lt;=7*'3 ROLL'!$F$41,'3 ROLL'!$F$37+ (B37-6*'3 ROLL'!$F$41) *'3 ROLL'!$F$38,
IF(B38&lt;=8*'3 ROLL'!$F$41,'3 ROLL'!$F$37+ (B37-7*'3 ROLL'!$F$41) *'3 ROLL'!$F$38,
IF(B38&lt;=9*'3 ROLL'!$F$41,'3 ROLL'!$F$37+ (B37-8*'3 ROLL'!$F$41) *'3 ROLL'!$F$38,
IF(B38&lt;=10*'3 ROLL'!$F$41,'3 ROLL'!$F$37+ (B37-9*'3 ROLL'!$F$41) *'3 ROLL'!$F$38,
IF(B38&lt;=11*'3 ROLL'!$F$41,'3 ROLL'!$F$37+ (B37-10*'3 ROLL'!$F$41) *'3 ROLL'!$F$38,
IF(B38&lt;=12*'3 ROLL'!$F$41,'3 ROLL'!$F$37+ (B37-11*'3 ROLL'!$F$41) *'3 ROLL'!$F$38,
IF(B38&lt;=13*'3 ROLL'!$F$41,'3 ROLL'!$F$37+ (B37-12*'3 ROLL'!$F$41) *'3 ROLL'!$F$38,
IF(B38&lt;=14*'3 ROLL'!$F$41,'3 ROLL'!$F$37+ (B37-13*'3 ROLL'!$F$41) *'3 ROLL'!$F$38,
IF(B38&lt;=15*'3 ROLL'!$F$41,'3 ROLL'!$F$37+ (B37-14*'3 ROLL'!$F$41) *'3 ROLL'!$F$38,
IF(B38&lt;=16*'3 ROLL'!$F$41,'3 ROLL'!$F$37+ (B37-15*'3 ROLL'!$F$41) *'3 ROLL'!$F$38,
IF(B38&lt;=17*'3 ROLL'!$F$41,'3 ROLL'!$F$37+ (B37-16*'3 ROLL'!$F$41) *'3 ROLL'!$F$38,
IF(B38&lt;=18*'3 ROLL'!$F$41,'3 ROLL'!$F$37+ (B37-17*'3 ROLL'!$F$41) *'3 ROLL'!$F$38,
IF(B38&lt;=19*'3 ROLL'!$F$41,'3 ROLL'!$F$37+ (B37-18*'3 ROLL'!$F$41) *'3 ROLL'!$F$38,
IF(B38&lt;=20*'3 ROLL'!$F$41,'3 ROLL'!$F$37+ (B37-19*'3 ROLL'!$F$41) *'3 ROLL'!$F$38, ""
) ) ) ) ) ) ) ) ) ) ) ) ) ) ) ) ) ) ) )</f>
        <v>3.3</v>
      </c>
      <c r="D38" s="105"/>
      <c r="E38" s="111">
        <f>'3 ROLL'!$F$11*'3 ROLL'!$F$9*( ((1+'3 ROLL'!$F$12)^roll!B38 - 1) /'3 ROLL'!$F$12)</f>
        <v>29388119.990378808</v>
      </c>
      <c r="F38" s="111">
        <f>'3 ROLL'!$F$14*'3 ROLL'!$F$9*( ((1+'3 ROLL'!$F$15)^roll!B38 - 1) /'3 ROLL'!$F$15)</f>
        <v>587762399.80757618</v>
      </c>
      <c r="G38" s="111">
        <f>'3 ROLL'!$F$17*'3 ROLL'!$F$9*( ((1+'3 ROLL'!$F$18)^roll!B38 - 1) /'3 ROLL'!$F$18)</f>
        <v>88164.359971136422</v>
      </c>
      <c r="H38" s="111">
        <f>'3 ROLL'!$F$20*'3 ROLL'!$F$9*( ((1+'3 ROLL'!$F$21)^roll!B38 - 1) /'3 ROLL'!$F$21)</f>
        <v>58776.239980757615</v>
      </c>
      <c r="I38" s="109"/>
      <c r="J38" s="48">
        <f t="shared" si="9"/>
        <v>1.0243789999999999</v>
      </c>
      <c r="K38" s="48">
        <f>'3 ROLL'!$F$24*'3 ROLL'!$F$48*roll!J38</f>
        <v>0.66584635000000003</v>
      </c>
      <c r="L38" s="50">
        <f t="shared" si="2"/>
        <v>19567972.428955767</v>
      </c>
      <c r="M38" s="108"/>
      <c r="N38" s="48">
        <f t="shared" si="3"/>
        <v>1.2364409999999999</v>
      </c>
      <c r="O38" s="48">
        <f>'3 ROLL'!$F$27*'3 ROLL'!$F$49*roll!N38</f>
        <v>0.192884796</v>
      </c>
      <c r="P38" s="50">
        <f t="shared" si="4"/>
        <v>113370430.58335477</v>
      </c>
      <c r="Q38" s="106"/>
      <c r="R38" s="48">
        <f t="shared" si="5"/>
        <v>1.2364409999999999</v>
      </c>
      <c r="S38" s="48">
        <f>'3 ROLL'!$F$30*'3 ROLL'!$F$49*roll!R38</f>
        <v>0.128589864</v>
      </c>
      <c r="T38" s="50">
        <f t="shared" si="6"/>
        <v>11337.043058335476</v>
      </c>
      <c r="U38" s="106"/>
      <c r="V38" s="48">
        <f t="shared" si="7"/>
        <v>1.2364409999999999</v>
      </c>
      <c r="W38" s="48">
        <f>'3 ROLL'!$F$33*'3 ROLL'!$F$50*roll!V38</f>
        <v>0</v>
      </c>
      <c r="X38" s="50">
        <f t="shared" si="8"/>
        <v>0</v>
      </c>
    </row>
    <row r="39" spans="2:24" ht="14.5" customHeight="1" x14ac:dyDescent="0.35">
      <c r="B39" s="91">
        <f t="shared" si="1"/>
        <v>35</v>
      </c>
      <c r="C39" s="49">
        <f>IF(B39&lt;='3 ROLL'!$F$41,'3 ROLL'!$F$37+B38*'3 ROLL'!$F$38,
IF(B39&lt;=2*'3 ROLL'!$F$41,'3 ROLL'!$F$37+ (B38-'3 ROLL'!$F$41) *'3 ROLL'!$F$38,
IF(B39&lt;=3*'3 ROLL'!$F$41,'3 ROLL'!$F$37+ (B38-2*'3 ROLL'!$F$41) *'3 ROLL'!$F$38,
IF(B39&lt;=4*'3 ROLL'!$F$41,'3 ROLL'!$F$37+ (B38-3*'3 ROLL'!$F$41) *'3 ROLL'!$F$38,
IF(B39&lt;=5*'3 ROLL'!$F$41,'3 ROLL'!$F$37+ (B38-4*'3 ROLL'!$F$41) *'3 ROLL'!$F$38,
IF(B39&lt;=6*'3 ROLL'!$F$41,'3 ROLL'!$F$37+ (B38-5*'3 ROLL'!$F$41) *'3 ROLL'!$F$38,
IF(B39&lt;=7*'3 ROLL'!$F$41,'3 ROLL'!$F$37+ (B38-6*'3 ROLL'!$F$41) *'3 ROLL'!$F$38,
IF(B39&lt;=8*'3 ROLL'!$F$41,'3 ROLL'!$F$37+ (B38-7*'3 ROLL'!$F$41) *'3 ROLL'!$F$38,
IF(B39&lt;=9*'3 ROLL'!$F$41,'3 ROLL'!$F$37+ (B38-8*'3 ROLL'!$F$41) *'3 ROLL'!$F$38,
IF(B39&lt;=10*'3 ROLL'!$F$41,'3 ROLL'!$F$37+ (B38-9*'3 ROLL'!$F$41) *'3 ROLL'!$F$38,
IF(B39&lt;=11*'3 ROLL'!$F$41,'3 ROLL'!$F$37+ (B38-10*'3 ROLL'!$F$41) *'3 ROLL'!$F$38,
IF(B39&lt;=12*'3 ROLL'!$F$41,'3 ROLL'!$F$37+ (B38-11*'3 ROLL'!$F$41) *'3 ROLL'!$F$38,
IF(B39&lt;=13*'3 ROLL'!$F$41,'3 ROLL'!$F$37+ (B38-12*'3 ROLL'!$F$41) *'3 ROLL'!$F$38,
IF(B39&lt;=14*'3 ROLL'!$F$41,'3 ROLL'!$F$37+ (B38-13*'3 ROLL'!$F$41) *'3 ROLL'!$F$38,
IF(B39&lt;=15*'3 ROLL'!$F$41,'3 ROLL'!$F$37+ (B38-14*'3 ROLL'!$F$41) *'3 ROLL'!$F$38,
IF(B39&lt;=16*'3 ROLL'!$F$41,'3 ROLL'!$F$37+ (B38-15*'3 ROLL'!$F$41) *'3 ROLL'!$F$38,
IF(B39&lt;=17*'3 ROLL'!$F$41,'3 ROLL'!$F$37+ (B38-16*'3 ROLL'!$F$41) *'3 ROLL'!$F$38,
IF(B39&lt;=18*'3 ROLL'!$F$41,'3 ROLL'!$F$37+ (B38-17*'3 ROLL'!$F$41) *'3 ROLL'!$F$38,
IF(B39&lt;=19*'3 ROLL'!$F$41,'3 ROLL'!$F$37+ (B38-18*'3 ROLL'!$F$41) *'3 ROLL'!$F$38,
IF(B39&lt;=20*'3 ROLL'!$F$41,'3 ROLL'!$F$37+ (B38-19*'3 ROLL'!$F$41) *'3 ROLL'!$F$38, ""
) ) ) ) ) ) ) ) ) ) ) ) ) ) ) ) ) ) ) )</f>
        <v>3.4000000000000004</v>
      </c>
      <c r="D39" s="105"/>
      <c r="E39" s="111">
        <f>'3 ROLL'!$F$11*'3 ROLL'!$F$9*( ((1+'3 ROLL'!$F$12)^roll!B39 - 1) /'3 ROLL'!$F$12)</f>
        <v>30412001.19028258</v>
      </c>
      <c r="F39" s="111">
        <f>'3 ROLL'!$F$14*'3 ROLL'!$F$9*( ((1+'3 ROLL'!$F$15)^roll!B39 - 1) /'3 ROLL'!$F$15)</f>
        <v>608240023.80565155</v>
      </c>
      <c r="G39" s="111">
        <f>'3 ROLL'!$F$17*'3 ROLL'!$F$9*( ((1+'3 ROLL'!$F$18)^roll!B39 - 1) /'3 ROLL'!$F$18)</f>
        <v>91236.003570847737</v>
      </c>
      <c r="H39" s="111">
        <f>'3 ROLL'!$F$20*'3 ROLL'!$F$9*( ((1+'3 ROLL'!$F$21)^roll!B39 - 1) /'3 ROLL'!$F$21)</f>
        <v>60824.002380565158</v>
      </c>
      <c r="I39" s="109"/>
      <c r="J39" s="48">
        <f t="shared" si="9"/>
        <v>1.0265420000000001</v>
      </c>
      <c r="K39" s="48">
        <f>'3 ROLL'!$F$24*'3 ROLL'!$F$48*roll!J39</f>
        <v>0.66725230000000002</v>
      </c>
      <c r="L39" s="50">
        <f t="shared" si="2"/>
        <v>20292477.741818789</v>
      </c>
      <c r="M39" s="108"/>
      <c r="N39" s="48">
        <f t="shared" si="3"/>
        <v>1.2438180000000001</v>
      </c>
      <c r="O39" s="48">
        <f>'3 ROLL'!$F$27*'3 ROLL'!$F$49*roll!N39</f>
        <v>0.19403560800000003</v>
      </c>
      <c r="P39" s="50">
        <f t="shared" si="4"/>
        <v>118020222.82906409</v>
      </c>
      <c r="Q39" s="106"/>
      <c r="R39" s="48">
        <f t="shared" si="5"/>
        <v>1.2438180000000001</v>
      </c>
      <c r="S39" s="48">
        <f>'3 ROLL'!$F$30*'3 ROLL'!$F$49*roll!R39</f>
        <v>0.12935707200000002</v>
      </c>
      <c r="T39" s="50">
        <f t="shared" si="6"/>
        <v>11802.02228290641</v>
      </c>
      <c r="U39" s="106"/>
      <c r="V39" s="48">
        <f t="shared" si="7"/>
        <v>1.2438180000000001</v>
      </c>
      <c r="W39" s="48">
        <f>'3 ROLL'!$F$33*'3 ROLL'!$F$50*roll!V39</f>
        <v>0</v>
      </c>
      <c r="X39" s="50">
        <f t="shared" si="8"/>
        <v>0</v>
      </c>
    </row>
    <row r="40" spans="2:24" ht="14.5" customHeight="1" x14ac:dyDescent="0.35">
      <c r="B40" s="91">
        <f t="shared" si="1"/>
        <v>36</v>
      </c>
      <c r="C40" s="49">
        <f>IF(B40&lt;='3 ROLL'!$F$41,'3 ROLL'!$F$37+B39*'3 ROLL'!$F$38,
IF(B40&lt;=2*'3 ROLL'!$F$41,'3 ROLL'!$F$37+ (B39-'3 ROLL'!$F$41) *'3 ROLL'!$F$38,
IF(B40&lt;=3*'3 ROLL'!$F$41,'3 ROLL'!$F$37+ (B39-2*'3 ROLL'!$F$41) *'3 ROLL'!$F$38,
IF(B40&lt;=4*'3 ROLL'!$F$41,'3 ROLL'!$F$37+ (B39-3*'3 ROLL'!$F$41) *'3 ROLL'!$F$38,
IF(B40&lt;=5*'3 ROLL'!$F$41,'3 ROLL'!$F$37+ (B39-4*'3 ROLL'!$F$41) *'3 ROLL'!$F$38,
IF(B40&lt;=6*'3 ROLL'!$F$41,'3 ROLL'!$F$37+ (B39-5*'3 ROLL'!$F$41) *'3 ROLL'!$F$38,
IF(B40&lt;=7*'3 ROLL'!$F$41,'3 ROLL'!$F$37+ (B39-6*'3 ROLL'!$F$41) *'3 ROLL'!$F$38,
IF(B40&lt;=8*'3 ROLL'!$F$41,'3 ROLL'!$F$37+ (B39-7*'3 ROLL'!$F$41) *'3 ROLL'!$F$38,
IF(B40&lt;=9*'3 ROLL'!$F$41,'3 ROLL'!$F$37+ (B39-8*'3 ROLL'!$F$41) *'3 ROLL'!$F$38,
IF(B40&lt;=10*'3 ROLL'!$F$41,'3 ROLL'!$F$37+ (B39-9*'3 ROLL'!$F$41) *'3 ROLL'!$F$38,
IF(B40&lt;=11*'3 ROLL'!$F$41,'3 ROLL'!$F$37+ (B39-10*'3 ROLL'!$F$41) *'3 ROLL'!$F$38,
IF(B40&lt;=12*'3 ROLL'!$F$41,'3 ROLL'!$F$37+ (B39-11*'3 ROLL'!$F$41) *'3 ROLL'!$F$38,
IF(B40&lt;=13*'3 ROLL'!$F$41,'3 ROLL'!$F$37+ (B39-12*'3 ROLL'!$F$41) *'3 ROLL'!$F$38,
IF(B40&lt;=14*'3 ROLL'!$F$41,'3 ROLL'!$F$37+ (B39-13*'3 ROLL'!$F$41) *'3 ROLL'!$F$38,
IF(B40&lt;=15*'3 ROLL'!$F$41,'3 ROLL'!$F$37+ (B39-14*'3 ROLL'!$F$41) *'3 ROLL'!$F$38,
IF(B40&lt;=16*'3 ROLL'!$F$41,'3 ROLL'!$F$37+ (B39-15*'3 ROLL'!$F$41) *'3 ROLL'!$F$38,
IF(B40&lt;=17*'3 ROLL'!$F$41,'3 ROLL'!$F$37+ (B39-16*'3 ROLL'!$F$41) *'3 ROLL'!$F$38,
IF(B40&lt;=18*'3 ROLL'!$F$41,'3 ROLL'!$F$37+ (B39-17*'3 ROLL'!$F$41) *'3 ROLL'!$F$38,
IF(B40&lt;=19*'3 ROLL'!$F$41,'3 ROLL'!$F$37+ (B39-18*'3 ROLL'!$F$41) *'3 ROLL'!$F$38,
IF(B40&lt;=20*'3 ROLL'!$F$41,'3 ROLL'!$F$37+ (B39-19*'3 ROLL'!$F$41) *'3 ROLL'!$F$38, ""
) ) ) ) ) ) ) ) ) ) ) ) ) ) ) ) ) ) ) )</f>
        <v>3.5</v>
      </c>
      <c r="D40" s="105"/>
      <c r="E40" s="111">
        <f>'3 ROLL'!$F$11*'3 ROLL'!$F$9*( ((1+'3 ROLL'!$F$12)^roll!B40 - 1) /'3 ROLL'!$F$12)</f>
        <v>31446121.202185415</v>
      </c>
      <c r="F40" s="111">
        <f>'3 ROLL'!$F$14*'3 ROLL'!$F$9*( ((1+'3 ROLL'!$F$15)^roll!B40 - 1) /'3 ROLL'!$F$15)</f>
        <v>628922424.04370832</v>
      </c>
      <c r="G40" s="111">
        <f>'3 ROLL'!$F$17*'3 ROLL'!$F$9*( ((1+'3 ROLL'!$F$18)^roll!B40 - 1) /'3 ROLL'!$F$18)</f>
        <v>94338.363606556246</v>
      </c>
      <c r="H40" s="111">
        <f>'3 ROLL'!$F$20*'3 ROLL'!$F$9*( ((1+'3 ROLL'!$F$21)^roll!B40 - 1) /'3 ROLL'!$F$21)</f>
        <v>62892.242404370831</v>
      </c>
      <c r="I40" s="109"/>
      <c r="J40" s="48">
        <f t="shared" si="9"/>
        <v>1.028705</v>
      </c>
      <c r="K40" s="48">
        <f>'3 ROLL'!$F$24*'3 ROLL'!$F$48*roll!J40</f>
        <v>0.66865825000000001</v>
      </c>
      <c r="L40" s="50">
        <f t="shared" si="2"/>
        <v>21026708.372341197</v>
      </c>
      <c r="M40" s="108"/>
      <c r="N40" s="48">
        <f t="shared" si="3"/>
        <v>1.2511950000000001</v>
      </c>
      <c r="O40" s="48">
        <f>'3 ROLL'!$F$27*'3 ROLL'!$F$49*roll!N40</f>
        <v>0.19518642</v>
      </c>
      <c r="P40" s="50">
        <f t="shared" si="4"/>
        <v>122757116.40681335</v>
      </c>
      <c r="Q40" s="106"/>
      <c r="R40" s="48">
        <f t="shared" si="5"/>
        <v>1.2511950000000001</v>
      </c>
      <c r="S40" s="48">
        <f>'3 ROLL'!$F$30*'3 ROLL'!$F$49*roll!R40</f>
        <v>0.13012428000000001</v>
      </c>
      <c r="T40" s="50">
        <f t="shared" si="6"/>
        <v>12275.711640681335</v>
      </c>
      <c r="U40" s="106"/>
      <c r="V40" s="48">
        <f t="shared" si="7"/>
        <v>1.2511950000000001</v>
      </c>
      <c r="W40" s="48">
        <f>'3 ROLL'!$F$33*'3 ROLL'!$F$50*roll!V40</f>
        <v>0</v>
      </c>
      <c r="X40" s="50">
        <f t="shared" si="8"/>
        <v>0</v>
      </c>
    </row>
    <row r="41" spans="2:24" ht="14.5" customHeight="1" x14ac:dyDescent="0.35">
      <c r="B41" s="91">
        <f t="shared" si="1"/>
        <v>37</v>
      </c>
      <c r="C41" s="49">
        <f>IF(B41&lt;='3 ROLL'!$F$41,'3 ROLL'!$F$37+B40*'3 ROLL'!$F$38,
IF(B41&lt;=2*'3 ROLL'!$F$41,'3 ROLL'!$F$37+ (B40-'3 ROLL'!$F$41) *'3 ROLL'!$F$38,
IF(B41&lt;=3*'3 ROLL'!$F$41,'3 ROLL'!$F$37+ (B40-2*'3 ROLL'!$F$41) *'3 ROLL'!$F$38,
IF(B41&lt;=4*'3 ROLL'!$F$41,'3 ROLL'!$F$37+ (B40-3*'3 ROLL'!$F$41) *'3 ROLL'!$F$38,
IF(B41&lt;=5*'3 ROLL'!$F$41,'3 ROLL'!$F$37+ (B40-4*'3 ROLL'!$F$41) *'3 ROLL'!$F$38,
IF(B41&lt;=6*'3 ROLL'!$F$41,'3 ROLL'!$F$37+ (B40-5*'3 ROLL'!$F$41) *'3 ROLL'!$F$38,
IF(B41&lt;=7*'3 ROLL'!$F$41,'3 ROLL'!$F$37+ (B40-6*'3 ROLL'!$F$41) *'3 ROLL'!$F$38,
IF(B41&lt;=8*'3 ROLL'!$F$41,'3 ROLL'!$F$37+ (B40-7*'3 ROLL'!$F$41) *'3 ROLL'!$F$38,
IF(B41&lt;=9*'3 ROLL'!$F$41,'3 ROLL'!$F$37+ (B40-8*'3 ROLL'!$F$41) *'3 ROLL'!$F$38,
IF(B41&lt;=10*'3 ROLL'!$F$41,'3 ROLL'!$F$37+ (B40-9*'3 ROLL'!$F$41) *'3 ROLL'!$F$38,
IF(B41&lt;=11*'3 ROLL'!$F$41,'3 ROLL'!$F$37+ (B40-10*'3 ROLL'!$F$41) *'3 ROLL'!$F$38,
IF(B41&lt;=12*'3 ROLL'!$F$41,'3 ROLL'!$F$37+ (B40-11*'3 ROLL'!$F$41) *'3 ROLL'!$F$38,
IF(B41&lt;=13*'3 ROLL'!$F$41,'3 ROLL'!$F$37+ (B40-12*'3 ROLL'!$F$41) *'3 ROLL'!$F$38,
IF(B41&lt;=14*'3 ROLL'!$F$41,'3 ROLL'!$F$37+ (B40-13*'3 ROLL'!$F$41) *'3 ROLL'!$F$38,
IF(B41&lt;=15*'3 ROLL'!$F$41,'3 ROLL'!$F$37+ (B40-14*'3 ROLL'!$F$41) *'3 ROLL'!$F$38,
IF(B41&lt;=16*'3 ROLL'!$F$41,'3 ROLL'!$F$37+ (B40-15*'3 ROLL'!$F$41) *'3 ROLL'!$F$38,
IF(B41&lt;=17*'3 ROLL'!$F$41,'3 ROLL'!$F$37+ (B40-16*'3 ROLL'!$F$41) *'3 ROLL'!$F$38,
IF(B41&lt;=18*'3 ROLL'!$F$41,'3 ROLL'!$F$37+ (B40-17*'3 ROLL'!$F$41) *'3 ROLL'!$F$38,
IF(B41&lt;=19*'3 ROLL'!$F$41,'3 ROLL'!$F$37+ (B40-18*'3 ROLL'!$F$41) *'3 ROLL'!$F$38,
IF(B41&lt;=20*'3 ROLL'!$F$41,'3 ROLL'!$F$37+ (B40-19*'3 ROLL'!$F$41) *'3 ROLL'!$F$38, ""
) ) ) ) ) ) ) ) ) ) ) ) ) ) ) ) ) ) ) )</f>
        <v>3.6</v>
      </c>
      <c r="D41" s="105"/>
      <c r="E41" s="111">
        <f>'3 ROLL'!$F$11*'3 ROLL'!$F$9*( ((1+'3 ROLL'!$F$12)^roll!B41 - 1) /'3 ROLL'!$F$12)</f>
        <v>32490582.414207269</v>
      </c>
      <c r="F41" s="111">
        <f>'3 ROLL'!$F$14*'3 ROLL'!$F$9*( ((1+'3 ROLL'!$F$15)^roll!B41 - 1) /'3 ROLL'!$F$15)</f>
        <v>649811648.28414536</v>
      </c>
      <c r="G41" s="111">
        <f>'3 ROLL'!$F$17*'3 ROLL'!$F$9*( ((1+'3 ROLL'!$F$18)^roll!B41 - 1) /'3 ROLL'!$F$18)</f>
        <v>97471.747242621801</v>
      </c>
      <c r="H41" s="111">
        <f>'3 ROLL'!$F$20*'3 ROLL'!$F$9*( ((1+'3 ROLL'!$F$21)^roll!B41 - 1) /'3 ROLL'!$F$21)</f>
        <v>64981.164828414534</v>
      </c>
      <c r="I41" s="109"/>
      <c r="J41" s="48">
        <f t="shared" si="9"/>
        <v>1.0308679999999999</v>
      </c>
      <c r="K41" s="48">
        <f>'3 ROLL'!$F$24*'3 ROLL'!$F$48*roll!J41</f>
        <v>0.6700642</v>
      </c>
      <c r="L41" s="50">
        <f t="shared" si="2"/>
        <v>21770776.112909861</v>
      </c>
      <c r="M41" s="108"/>
      <c r="N41" s="48">
        <f t="shared" si="3"/>
        <v>1.258572</v>
      </c>
      <c r="O41" s="48">
        <f>'3 ROLL'!$F$27*'3 ROLL'!$F$49*roll!N41</f>
        <v>0.196337232</v>
      </c>
      <c r="P41" s="50">
        <f t="shared" si="4"/>
        <v>127582220.34546664</v>
      </c>
      <c r="Q41" s="106"/>
      <c r="R41" s="48">
        <f t="shared" si="5"/>
        <v>1.258572</v>
      </c>
      <c r="S41" s="48">
        <f>'3 ROLL'!$F$30*'3 ROLL'!$F$49*roll!R41</f>
        <v>0.130891488</v>
      </c>
      <c r="T41" s="50">
        <f t="shared" si="6"/>
        <v>12758.222034546665</v>
      </c>
      <c r="U41" s="106"/>
      <c r="V41" s="48">
        <f t="shared" si="7"/>
        <v>1.258572</v>
      </c>
      <c r="W41" s="48">
        <f>'3 ROLL'!$F$33*'3 ROLL'!$F$50*roll!V41</f>
        <v>0</v>
      </c>
      <c r="X41" s="50">
        <f t="shared" si="8"/>
        <v>0</v>
      </c>
    </row>
    <row r="42" spans="2:24" ht="14.5" customHeight="1" x14ac:dyDescent="0.35">
      <c r="B42" s="91">
        <f t="shared" si="1"/>
        <v>38</v>
      </c>
      <c r="C42" s="49">
        <f>IF(B42&lt;='3 ROLL'!$F$41,'3 ROLL'!$F$37+B41*'3 ROLL'!$F$38,
IF(B42&lt;=2*'3 ROLL'!$F$41,'3 ROLL'!$F$37+ (B41-'3 ROLL'!$F$41) *'3 ROLL'!$F$38,
IF(B42&lt;=3*'3 ROLL'!$F$41,'3 ROLL'!$F$37+ (B41-2*'3 ROLL'!$F$41) *'3 ROLL'!$F$38,
IF(B42&lt;=4*'3 ROLL'!$F$41,'3 ROLL'!$F$37+ (B41-3*'3 ROLL'!$F$41) *'3 ROLL'!$F$38,
IF(B42&lt;=5*'3 ROLL'!$F$41,'3 ROLL'!$F$37+ (B41-4*'3 ROLL'!$F$41) *'3 ROLL'!$F$38,
IF(B42&lt;=6*'3 ROLL'!$F$41,'3 ROLL'!$F$37+ (B41-5*'3 ROLL'!$F$41) *'3 ROLL'!$F$38,
IF(B42&lt;=7*'3 ROLL'!$F$41,'3 ROLL'!$F$37+ (B41-6*'3 ROLL'!$F$41) *'3 ROLL'!$F$38,
IF(B42&lt;=8*'3 ROLL'!$F$41,'3 ROLL'!$F$37+ (B41-7*'3 ROLL'!$F$41) *'3 ROLL'!$F$38,
IF(B42&lt;=9*'3 ROLL'!$F$41,'3 ROLL'!$F$37+ (B41-8*'3 ROLL'!$F$41) *'3 ROLL'!$F$38,
IF(B42&lt;=10*'3 ROLL'!$F$41,'3 ROLL'!$F$37+ (B41-9*'3 ROLL'!$F$41) *'3 ROLL'!$F$38,
IF(B42&lt;=11*'3 ROLL'!$F$41,'3 ROLL'!$F$37+ (B41-10*'3 ROLL'!$F$41) *'3 ROLL'!$F$38,
IF(B42&lt;=12*'3 ROLL'!$F$41,'3 ROLL'!$F$37+ (B41-11*'3 ROLL'!$F$41) *'3 ROLL'!$F$38,
IF(B42&lt;=13*'3 ROLL'!$F$41,'3 ROLL'!$F$37+ (B41-12*'3 ROLL'!$F$41) *'3 ROLL'!$F$38,
IF(B42&lt;=14*'3 ROLL'!$F$41,'3 ROLL'!$F$37+ (B41-13*'3 ROLL'!$F$41) *'3 ROLL'!$F$38,
IF(B42&lt;=15*'3 ROLL'!$F$41,'3 ROLL'!$F$37+ (B41-14*'3 ROLL'!$F$41) *'3 ROLL'!$F$38,
IF(B42&lt;=16*'3 ROLL'!$F$41,'3 ROLL'!$F$37+ (B41-15*'3 ROLL'!$F$41) *'3 ROLL'!$F$38,
IF(B42&lt;=17*'3 ROLL'!$F$41,'3 ROLL'!$F$37+ (B41-16*'3 ROLL'!$F$41) *'3 ROLL'!$F$38,
IF(B42&lt;=18*'3 ROLL'!$F$41,'3 ROLL'!$F$37+ (B41-17*'3 ROLL'!$F$41) *'3 ROLL'!$F$38,
IF(B42&lt;=19*'3 ROLL'!$F$41,'3 ROLL'!$F$37+ (B41-18*'3 ROLL'!$F$41) *'3 ROLL'!$F$38,
IF(B42&lt;=20*'3 ROLL'!$F$41,'3 ROLL'!$F$37+ (B41-19*'3 ROLL'!$F$41) *'3 ROLL'!$F$38, ""
) ) ) ) ) ) ) ) ) ) ) ) ) ) ) ) ) ) ) )</f>
        <v>3.7</v>
      </c>
      <c r="D42" s="105"/>
      <c r="E42" s="111">
        <f>'3 ROLL'!$F$11*'3 ROLL'!$F$9*( ((1+'3 ROLL'!$F$12)^roll!B42 - 1) /'3 ROLL'!$F$12)</f>
        <v>33545488.238349352</v>
      </c>
      <c r="F42" s="111">
        <f>'3 ROLL'!$F$14*'3 ROLL'!$F$9*( ((1+'3 ROLL'!$F$15)^roll!B42 - 1) /'3 ROLL'!$F$15)</f>
        <v>670909764.76698709</v>
      </c>
      <c r="G42" s="111">
        <f>'3 ROLL'!$F$17*'3 ROLL'!$F$9*( ((1+'3 ROLL'!$F$18)^roll!B42 - 1) /'3 ROLL'!$F$18)</f>
        <v>100636.46471504806</v>
      </c>
      <c r="H42" s="111">
        <f>'3 ROLL'!$F$20*'3 ROLL'!$F$9*( ((1+'3 ROLL'!$F$21)^roll!B42 - 1) /'3 ROLL'!$F$21)</f>
        <v>67090.976476698706</v>
      </c>
      <c r="I42" s="109"/>
      <c r="J42" s="48">
        <f t="shared" si="9"/>
        <v>1.033031</v>
      </c>
      <c r="K42" s="48">
        <f>'3 ROLL'!$F$24*'3 ROLL'!$F$48*roll!J42</f>
        <v>0.6714701500000001</v>
      </c>
      <c r="L42" s="50">
        <f t="shared" si="2"/>
        <v>22524794.01922768</v>
      </c>
      <c r="M42" s="108"/>
      <c r="N42" s="48">
        <f t="shared" si="3"/>
        <v>1.265949</v>
      </c>
      <c r="O42" s="48">
        <f>'3 ROLL'!$F$27*'3 ROLL'!$F$49*roll!N42</f>
        <v>0.197488044</v>
      </c>
      <c r="P42" s="50">
        <f t="shared" si="4"/>
        <v>132496657.14433239</v>
      </c>
      <c r="Q42" s="106"/>
      <c r="R42" s="48">
        <f t="shared" si="5"/>
        <v>1.265949</v>
      </c>
      <c r="S42" s="48">
        <f>'3 ROLL'!$F$30*'3 ROLL'!$F$49*roll!R42</f>
        <v>0.13165869600000002</v>
      </c>
      <c r="T42" s="50">
        <f t="shared" si="6"/>
        <v>13249.66571443324</v>
      </c>
      <c r="U42" s="106"/>
      <c r="V42" s="48">
        <f t="shared" si="7"/>
        <v>1.265949</v>
      </c>
      <c r="W42" s="48">
        <f>'3 ROLL'!$F$33*'3 ROLL'!$F$50*roll!V42</f>
        <v>0</v>
      </c>
      <c r="X42" s="50">
        <f t="shared" si="8"/>
        <v>0</v>
      </c>
    </row>
    <row r="43" spans="2:24" ht="14.5" customHeight="1" x14ac:dyDescent="0.35">
      <c r="B43" s="91">
        <f t="shared" si="1"/>
        <v>39</v>
      </c>
      <c r="C43" s="49">
        <f>IF(B43&lt;='3 ROLL'!$F$41,'3 ROLL'!$F$37+B42*'3 ROLL'!$F$38,
IF(B43&lt;=2*'3 ROLL'!$F$41,'3 ROLL'!$F$37+ (B42-'3 ROLL'!$F$41) *'3 ROLL'!$F$38,
IF(B43&lt;=3*'3 ROLL'!$F$41,'3 ROLL'!$F$37+ (B42-2*'3 ROLL'!$F$41) *'3 ROLL'!$F$38,
IF(B43&lt;=4*'3 ROLL'!$F$41,'3 ROLL'!$F$37+ (B42-3*'3 ROLL'!$F$41) *'3 ROLL'!$F$38,
IF(B43&lt;=5*'3 ROLL'!$F$41,'3 ROLL'!$F$37+ (B42-4*'3 ROLL'!$F$41) *'3 ROLL'!$F$38,
IF(B43&lt;=6*'3 ROLL'!$F$41,'3 ROLL'!$F$37+ (B42-5*'3 ROLL'!$F$41) *'3 ROLL'!$F$38,
IF(B43&lt;=7*'3 ROLL'!$F$41,'3 ROLL'!$F$37+ (B42-6*'3 ROLL'!$F$41) *'3 ROLL'!$F$38,
IF(B43&lt;=8*'3 ROLL'!$F$41,'3 ROLL'!$F$37+ (B42-7*'3 ROLL'!$F$41) *'3 ROLL'!$F$38,
IF(B43&lt;=9*'3 ROLL'!$F$41,'3 ROLL'!$F$37+ (B42-8*'3 ROLL'!$F$41) *'3 ROLL'!$F$38,
IF(B43&lt;=10*'3 ROLL'!$F$41,'3 ROLL'!$F$37+ (B42-9*'3 ROLL'!$F$41) *'3 ROLL'!$F$38,
IF(B43&lt;=11*'3 ROLL'!$F$41,'3 ROLL'!$F$37+ (B42-10*'3 ROLL'!$F$41) *'3 ROLL'!$F$38,
IF(B43&lt;=12*'3 ROLL'!$F$41,'3 ROLL'!$F$37+ (B42-11*'3 ROLL'!$F$41) *'3 ROLL'!$F$38,
IF(B43&lt;=13*'3 ROLL'!$F$41,'3 ROLL'!$F$37+ (B42-12*'3 ROLL'!$F$41) *'3 ROLL'!$F$38,
IF(B43&lt;=14*'3 ROLL'!$F$41,'3 ROLL'!$F$37+ (B42-13*'3 ROLL'!$F$41) *'3 ROLL'!$F$38,
IF(B43&lt;=15*'3 ROLL'!$F$41,'3 ROLL'!$F$37+ (B42-14*'3 ROLL'!$F$41) *'3 ROLL'!$F$38,
IF(B43&lt;=16*'3 ROLL'!$F$41,'3 ROLL'!$F$37+ (B42-15*'3 ROLL'!$F$41) *'3 ROLL'!$F$38,
IF(B43&lt;=17*'3 ROLL'!$F$41,'3 ROLL'!$F$37+ (B42-16*'3 ROLL'!$F$41) *'3 ROLL'!$F$38,
IF(B43&lt;=18*'3 ROLL'!$F$41,'3 ROLL'!$F$37+ (B42-17*'3 ROLL'!$F$41) *'3 ROLL'!$F$38,
IF(B43&lt;=19*'3 ROLL'!$F$41,'3 ROLL'!$F$37+ (B42-18*'3 ROLL'!$F$41) *'3 ROLL'!$F$38,
IF(B43&lt;=20*'3 ROLL'!$F$41,'3 ROLL'!$F$37+ (B42-19*'3 ROLL'!$F$41) *'3 ROLL'!$F$38, ""
) ) ) ) ) ) ) ) ) ) ) ) ) ) ) ) ) ) ) )</f>
        <v>3.8</v>
      </c>
      <c r="D43" s="105"/>
      <c r="E43" s="111">
        <f>'3 ROLL'!$F$11*'3 ROLL'!$F$9*( ((1+'3 ROLL'!$F$12)^roll!B43 - 1) /'3 ROLL'!$F$12)</f>
        <v>34610943.120732814</v>
      </c>
      <c r="F43" s="111">
        <f>'3 ROLL'!$F$14*'3 ROLL'!$F$9*( ((1+'3 ROLL'!$F$15)^roll!B43 - 1) /'3 ROLL'!$F$15)</f>
        <v>692218862.41465628</v>
      </c>
      <c r="G43" s="111">
        <f>'3 ROLL'!$F$17*'3 ROLL'!$F$9*( ((1+'3 ROLL'!$F$18)^roll!B43 - 1) /'3 ROLL'!$F$18)</f>
        <v>103832.82936219845</v>
      </c>
      <c r="H43" s="111">
        <f>'3 ROLL'!$F$20*'3 ROLL'!$F$9*( ((1+'3 ROLL'!$F$21)^roll!B43 - 1) /'3 ROLL'!$F$21)</f>
        <v>69221.886241465632</v>
      </c>
      <c r="I43" s="109"/>
      <c r="J43" s="48">
        <f t="shared" si="9"/>
        <v>1.0351939999999999</v>
      </c>
      <c r="K43" s="48">
        <f>'3 ROLL'!$F$24*'3 ROLL'!$F$48*roll!J43</f>
        <v>0.67287609999999998</v>
      </c>
      <c r="L43" s="50">
        <f t="shared" si="2"/>
        <v>23288876.424400523</v>
      </c>
      <c r="M43" s="108"/>
      <c r="N43" s="48">
        <f t="shared" si="3"/>
        <v>1.273326</v>
      </c>
      <c r="O43" s="48">
        <f>'3 ROLL'!$F$27*'3 ROLL'!$F$49*roll!N43</f>
        <v>0.198638856</v>
      </c>
      <c r="P43" s="50">
        <f t="shared" si="4"/>
        <v>137501562.93166873</v>
      </c>
      <c r="Q43" s="106"/>
      <c r="R43" s="48">
        <f t="shared" si="5"/>
        <v>1.273326</v>
      </c>
      <c r="S43" s="48">
        <f>'3 ROLL'!$F$30*'3 ROLL'!$F$49*roll!R43</f>
        <v>0.13242590400000001</v>
      </c>
      <c r="T43" s="50">
        <f t="shared" si="6"/>
        <v>13750.156293166874</v>
      </c>
      <c r="U43" s="106"/>
      <c r="V43" s="48">
        <f t="shared" si="7"/>
        <v>1.273326</v>
      </c>
      <c r="W43" s="48">
        <f>'3 ROLL'!$F$33*'3 ROLL'!$F$50*roll!V43</f>
        <v>0</v>
      </c>
      <c r="X43" s="50">
        <f t="shared" si="8"/>
        <v>0</v>
      </c>
    </row>
    <row r="44" spans="2:24" ht="14.5" customHeight="1" x14ac:dyDescent="0.35">
      <c r="B44" s="91">
        <f t="shared" si="1"/>
        <v>40</v>
      </c>
      <c r="C44" s="49">
        <f>IF(B44&lt;='3 ROLL'!$F$41,'3 ROLL'!$F$37+B43*'3 ROLL'!$F$38,
IF(B44&lt;=2*'3 ROLL'!$F$41,'3 ROLL'!$F$37+ (B43-'3 ROLL'!$F$41) *'3 ROLL'!$F$38,
IF(B44&lt;=3*'3 ROLL'!$F$41,'3 ROLL'!$F$37+ (B43-2*'3 ROLL'!$F$41) *'3 ROLL'!$F$38,
IF(B44&lt;=4*'3 ROLL'!$F$41,'3 ROLL'!$F$37+ (B43-3*'3 ROLL'!$F$41) *'3 ROLL'!$F$38,
IF(B44&lt;=5*'3 ROLL'!$F$41,'3 ROLL'!$F$37+ (B43-4*'3 ROLL'!$F$41) *'3 ROLL'!$F$38,
IF(B44&lt;=6*'3 ROLL'!$F$41,'3 ROLL'!$F$37+ (B43-5*'3 ROLL'!$F$41) *'3 ROLL'!$F$38,
IF(B44&lt;=7*'3 ROLL'!$F$41,'3 ROLL'!$F$37+ (B43-6*'3 ROLL'!$F$41) *'3 ROLL'!$F$38,
IF(B44&lt;=8*'3 ROLL'!$F$41,'3 ROLL'!$F$37+ (B43-7*'3 ROLL'!$F$41) *'3 ROLL'!$F$38,
IF(B44&lt;=9*'3 ROLL'!$F$41,'3 ROLL'!$F$37+ (B43-8*'3 ROLL'!$F$41) *'3 ROLL'!$F$38,
IF(B44&lt;=10*'3 ROLL'!$F$41,'3 ROLL'!$F$37+ (B43-9*'3 ROLL'!$F$41) *'3 ROLL'!$F$38,
IF(B44&lt;=11*'3 ROLL'!$F$41,'3 ROLL'!$F$37+ (B43-10*'3 ROLL'!$F$41) *'3 ROLL'!$F$38,
IF(B44&lt;=12*'3 ROLL'!$F$41,'3 ROLL'!$F$37+ (B43-11*'3 ROLL'!$F$41) *'3 ROLL'!$F$38,
IF(B44&lt;=13*'3 ROLL'!$F$41,'3 ROLL'!$F$37+ (B43-12*'3 ROLL'!$F$41) *'3 ROLL'!$F$38,
IF(B44&lt;=14*'3 ROLL'!$F$41,'3 ROLL'!$F$37+ (B43-13*'3 ROLL'!$F$41) *'3 ROLL'!$F$38,
IF(B44&lt;=15*'3 ROLL'!$F$41,'3 ROLL'!$F$37+ (B43-14*'3 ROLL'!$F$41) *'3 ROLL'!$F$38,
IF(B44&lt;=16*'3 ROLL'!$F$41,'3 ROLL'!$F$37+ (B43-15*'3 ROLL'!$F$41) *'3 ROLL'!$F$38,
IF(B44&lt;=17*'3 ROLL'!$F$41,'3 ROLL'!$F$37+ (B43-16*'3 ROLL'!$F$41) *'3 ROLL'!$F$38,
IF(B44&lt;=18*'3 ROLL'!$F$41,'3 ROLL'!$F$37+ (B43-17*'3 ROLL'!$F$41) *'3 ROLL'!$F$38,
IF(B44&lt;=19*'3 ROLL'!$F$41,'3 ROLL'!$F$37+ (B43-18*'3 ROLL'!$F$41) *'3 ROLL'!$F$38,
IF(B44&lt;=20*'3 ROLL'!$F$41,'3 ROLL'!$F$37+ (B43-19*'3 ROLL'!$F$41) *'3 ROLL'!$F$38, ""
) ) ) ) ) ) ) ) ) ) ) ) ) ) ) ) ) ) ) )</f>
        <v>3.9000000000000004</v>
      </c>
      <c r="D44" s="105"/>
      <c r="E44" s="111">
        <f>'3 ROLL'!$F$11*'3 ROLL'!$F$9*( ((1+'3 ROLL'!$F$12)^roll!B44 - 1) /'3 ROLL'!$F$12)</f>
        <v>35687052.551940173</v>
      </c>
      <c r="F44" s="111">
        <f>'3 ROLL'!$F$14*'3 ROLL'!$F$9*( ((1+'3 ROLL'!$F$15)^roll!B44 - 1) /'3 ROLL'!$F$15)</f>
        <v>713741051.03880346</v>
      </c>
      <c r="G44" s="111">
        <f>'3 ROLL'!$F$17*'3 ROLL'!$F$9*( ((1+'3 ROLL'!$F$18)^roll!B44 - 1) /'3 ROLL'!$F$18)</f>
        <v>107061.15765582051</v>
      </c>
      <c r="H44" s="111">
        <f>'3 ROLL'!$F$20*'3 ROLL'!$F$9*( ((1+'3 ROLL'!$F$21)^roll!B44 - 1) /'3 ROLL'!$F$21)</f>
        <v>71374.105103880342</v>
      </c>
      <c r="I44" s="109"/>
      <c r="J44" s="48">
        <f t="shared" si="9"/>
        <v>1.0373569999999999</v>
      </c>
      <c r="K44" s="48">
        <f>'3 ROLL'!$F$24*'3 ROLL'!$F$48*roll!J44</f>
        <v>0.67428204999999997</v>
      </c>
      <c r="L44" s="50">
        <f t="shared" si="2"/>
        <v>24063138.953179952</v>
      </c>
      <c r="M44" s="108"/>
      <c r="N44" s="48">
        <f t="shared" si="3"/>
        <v>1.2807029999999999</v>
      </c>
      <c r="O44" s="48">
        <f>'3 ROLL'!$F$27*'3 ROLL'!$F$49*roll!N44</f>
        <v>0.19978966799999998</v>
      </c>
      <c r="P44" s="50">
        <f t="shared" si="4"/>
        <v>142598087.62501359</v>
      </c>
      <c r="Q44" s="106"/>
      <c r="R44" s="48">
        <f t="shared" si="5"/>
        <v>1.2807029999999999</v>
      </c>
      <c r="S44" s="48">
        <f>'3 ROLL'!$F$30*'3 ROLL'!$F$49*roll!R44</f>
        <v>0.133193112</v>
      </c>
      <c r="T44" s="50">
        <f t="shared" si="6"/>
        <v>14259.80876250136</v>
      </c>
      <c r="U44" s="106"/>
      <c r="V44" s="48">
        <f t="shared" si="7"/>
        <v>1.2807029999999999</v>
      </c>
      <c r="W44" s="48">
        <f>'3 ROLL'!$F$33*'3 ROLL'!$F$50*roll!V44</f>
        <v>0</v>
      </c>
      <c r="X44" s="50">
        <f t="shared" si="8"/>
        <v>0</v>
      </c>
    </row>
    <row r="45" spans="2:24" ht="14.5" customHeight="1" x14ac:dyDescent="0.35">
      <c r="B45" s="91">
        <f t="shared" si="1"/>
        <v>41</v>
      </c>
      <c r="C45" s="49">
        <f>IF(B45&lt;='3 ROLL'!$F$41,'3 ROLL'!$F$37+B44*'3 ROLL'!$F$38,
IF(B45&lt;=2*'3 ROLL'!$F$41,'3 ROLL'!$F$37+ (B44-'3 ROLL'!$F$41) *'3 ROLL'!$F$38,
IF(B45&lt;=3*'3 ROLL'!$F$41,'3 ROLL'!$F$37+ (B44-2*'3 ROLL'!$F$41) *'3 ROLL'!$F$38,
IF(B45&lt;=4*'3 ROLL'!$F$41,'3 ROLL'!$F$37+ (B44-3*'3 ROLL'!$F$41) *'3 ROLL'!$F$38,
IF(B45&lt;=5*'3 ROLL'!$F$41,'3 ROLL'!$F$37+ (B44-4*'3 ROLL'!$F$41) *'3 ROLL'!$F$38,
IF(B45&lt;=6*'3 ROLL'!$F$41,'3 ROLL'!$F$37+ (B44-5*'3 ROLL'!$F$41) *'3 ROLL'!$F$38,
IF(B45&lt;=7*'3 ROLL'!$F$41,'3 ROLL'!$F$37+ (B44-6*'3 ROLL'!$F$41) *'3 ROLL'!$F$38,
IF(B45&lt;=8*'3 ROLL'!$F$41,'3 ROLL'!$F$37+ (B44-7*'3 ROLL'!$F$41) *'3 ROLL'!$F$38,
IF(B45&lt;=9*'3 ROLL'!$F$41,'3 ROLL'!$F$37+ (B44-8*'3 ROLL'!$F$41) *'3 ROLL'!$F$38,
IF(B45&lt;=10*'3 ROLL'!$F$41,'3 ROLL'!$F$37+ (B44-9*'3 ROLL'!$F$41) *'3 ROLL'!$F$38,
IF(B45&lt;=11*'3 ROLL'!$F$41,'3 ROLL'!$F$37+ (B44-10*'3 ROLL'!$F$41) *'3 ROLL'!$F$38,
IF(B45&lt;=12*'3 ROLL'!$F$41,'3 ROLL'!$F$37+ (B44-11*'3 ROLL'!$F$41) *'3 ROLL'!$F$38,
IF(B45&lt;=13*'3 ROLL'!$F$41,'3 ROLL'!$F$37+ (B44-12*'3 ROLL'!$F$41) *'3 ROLL'!$F$38,
IF(B45&lt;=14*'3 ROLL'!$F$41,'3 ROLL'!$F$37+ (B44-13*'3 ROLL'!$F$41) *'3 ROLL'!$F$38,
IF(B45&lt;=15*'3 ROLL'!$F$41,'3 ROLL'!$F$37+ (B44-14*'3 ROLL'!$F$41) *'3 ROLL'!$F$38,
IF(B45&lt;=16*'3 ROLL'!$F$41,'3 ROLL'!$F$37+ (B44-15*'3 ROLL'!$F$41) *'3 ROLL'!$F$38,
IF(B45&lt;=17*'3 ROLL'!$F$41,'3 ROLL'!$F$37+ (B44-16*'3 ROLL'!$F$41) *'3 ROLL'!$F$38,
IF(B45&lt;=18*'3 ROLL'!$F$41,'3 ROLL'!$F$37+ (B44-17*'3 ROLL'!$F$41) *'3 ROLL'!$F$38,
IF(B45&lt;=19*'3 ROLL'!$F$41,'3 ROLL'!$F$37+ (B44-18*'3 ROLL'!$F$41) *'3 ROLL'!$F$38,
IF(B45&lt;=20*'3 ROLL'!$F$41,'3 ROLL'!$F$37+ (B44-19*'3 ROLL'!$F$41) *'3 ROLL'!$F$38, ""
) ) ) ) ) ) ) ) ) ) ) ) ) ) ) ) ) ) ) )</f>
        <v>2</v>
      </c>
      <c r="D45" s="105"/>
      <c r="E45" s="111">
        <f>'3 ROLL'!$F$11*'3 ROLL'!$F$9*( ((1+'3 ROLL'!$F$12)^roll!B45 - 1) /'3 ROLL'!$F$12)</f>
        <v>36773923.077459581</v>
      </c>
      <c r="F45" s="111">
        <f>'3 ROLL'!$F$14*'3 ROLL'!$F$9*( ((1+'3 ROLL'!$F$15)^roll!B45 - 1) /'3 ROLL'!$F$15)</f>
        <v>735478461.54919159</v>
      </c>
      <c r="G45" s="111">
        <f>'3 ROLL'!$F$17*'3 ROLL'!$F$9*( ((1+'3 ROLL'!$F$18)^roll!B45 - 1) /'3 ROLL'!$F$18)</f>
        <v>110321.76923237875</v>
      </c>
      <c r="H45" s="111">
        <f>'3 ROLL'!$F$20*'3 ROLL'!$F$9*( ((1+'3 ROLL'!$F$21)^roll!B45 - 1) /'3 ROLL'!$F$21)</f>
        <v>73547.846154919171</v>
      </c>
      <c r="I45" s="109"/>
      <c r="J45" s="48">
        <f t="shared" si="9"/>
        <v>1</v>
      </c>
      <c r="K45" s="48">
        <f>'3 ROLL'!$F$24*'3 ROLL'!$F$48*roll!J45</f>
        <v>0.65</v>
      </c>
      <c r="L45" s="50">
        <f t="shared" si="2"/>
        <v>23903050.000348728</v>
      </c>
      <c r="M45" s="108"/>
      <c r="N45" s="48">
        <f t="shared" si="3"/>
        <v>1.1405400000000001</v>
      </c>
      <c r="O45" s="48">
        <f>'3 ROLL'!$F$27*'3 ROLL'!$F$49*roll!N45</f>
        <v>0.17792424000000001</v>
      </c>
      <c r="P45" s="50">
        <f t="shared" si="4"/>
        <v>130859446.30750914</v>
      </c>
      <c r="Q45" s="106"/>
      <c r="R45" s="48">
        <f t="shared" si="5"/>
        <v>1.1405400000000001</v>
      </c>
      <c r="S45" s="48">
        <f>'3 ROLL'!$F$30*'3 ROLL'!$F$49*roll!R45</f>
        <v>0.11861616000000003</v>
      </c>
      <c r="T45" s="50">
        <f t="shared" si="6"/>
        <v>13085.944630750917</v>
      </c>
      <c r="U45" s="106"/>
      <c r="V45" s="48">
        <f t="shared" si="7"/>
        <v>1.1405400000000001</v>
      </c>
      <c r="W45" s="48">
        <f>'3 ROLL'!$F$33*'3 ROLL'!$F$50*roll!V45</f>
        <v>0</v>
      </c>
      <c r="X45" s="50">
        <f t="shared" si="8"/>
        <v>0</v>
      </c>
    </row>
    <row r="46" spans="2:24" ht="14.5" customHeight="1" x14ac:dyDescent="0.35">
      <c r="B46" s="91">
        <f t="shared" si="1"/>
        <v>42</v>
      </c>
      <c r="C46" s="49">
        <f>IF(B46&lt;='3 ROLL'!$F$41,'3 ROLL'!$F$37+B45*'3 ROLL'!$F$38,
IF(B46&lt;=2*'3 ROLL'!$F$41,'3 ROLL'!$F$37+ (B45-'3 ROLL'!$F$41) *'3 ROLL'!$F$38,
IF(B46&lt;=3*'3 ROLL'!$F$41,'3 ROLL'!$F$37+ (B45-2*'3 ROLL'!$F$41) *'3 ROLL'!$F$38,
IF(B46&lt;=4*'3 ROLL'!$F$41,'3 ROLL'!$F$37+ (B45-3*'3 ROLL'!$F$41) *'3 ROLL'!$F$38,
IF(B46&lt;=5*'3 ROLL'!$F$41,'3 ROLL'!$F$37+ (B45-4*'3 ROLL'!$F$41) *'3 ROLL'!$F$38,
IF(B46&lt;=6*'3 ROLL'!$F$41,'3 ROLL'!$F$37+ (B45-5*'3 ROLL'!$F$41) *'3 ROLL'!$F$38,
IF(B46&lt;=7*'3 ROLL'!$F$41,'3 ROLL'!$F$37+ (B45-6*'3 ROLL'!$F$41) *'3 ROLL'!$F$38,
IF(B46&lt;=8*'3 ROLL'!$F$41,'3 ROLL'!$F$37+ (B45-7*'3 ROLL'!$F$41) *'3 ROLL'!$F$38,
IF(B46&lt;=9*'3 ROLL'!$F$41,'3 ROLL'!$F$37+ (B45-8*'3 ROLL'!$F$41) *'3 ROLL'!$F$38,
IF(B46&lt;=10*'3 ROLL'!$F$41,'3 ROLL'!$F$37+ (B45-9*'3 ROLL'!$F$41) *'3 ROLL'!$F$38,
IF(B46&lt;=11*'3 ROLL'!$F$41,'3 ROLL'!$F$37+ (B45-10*'3 ROLL'!$F$41) *'3 ROLL'!$F$38,
IF(B46&lt;=12*'3 ROLL'!$F$41,'3 ROLL'!$F$37+ (B45-11*'3 ROLL'!$F$41) *'3 ROLL'!$F$38,
IF(B46&lt;=13*'3 ROLL'!$F$41,'3 ROLL'!$F$37+ (B45-12*'3 ROLL'!$F$41) *'3 ROLL'!$F$38,
IF(B46&lt;=14*'3 ROLL'!$F$41,'3 ROLL'!$F$37+ (B45-13*'3 ROLL'!$F$41) *'3 ROLL'!$F$38,
IF(B46&lt;=15*'3 ROLL'!$F$41,'3 ROLL'!$F$37+ (B45-14*'3 ROLL'!$F$41) *'3 ROLL'!$F$38,
IF(B46&lt;=16*'3 ROLL'!$F$41,'3 ROLL'!$F$37+ (B45-15*'3 ROLL'!$F$41) *'3 ROLL'!$F$38,
IF(B46&lt;=17*'3 ROLL'!$F$41,'3 ROLL'!$F$37+ (B45-16*'3 ROLL'!$F$41) *'3 ROLL'!$F$38,
IF(B46&lt;=18*'3 ROLL'!$F$41,'3 ROLL'!$F$37+ (B45-17*'3 ROLL'!$F$41) *'3 ROLL'!$F$38,
IF(B46&lt;=19*'3 ROLL'!$F$41,'3 ROLL'!$F$37+ (B45-18*'3 ROLL'!$F$41) *'3 ROLL'!$F$38,
IF(B46&lt;=20*'3 ROLL'!$F$41,'3 ROLL'!$F$37+ (B45-19*'3 ROLL'!$F$41) *'3 ROLL'!$F$38, ""
) ) ) ) ) ) ) ) ) ) ) ) ) ) ) ) ) ) ) )</f>
        <v>2.1</v>
      </c>
      <c r="D46" s="105"/>
      <c r="E46" s="111">
        <f>'3 ROLL'!$F$11*'3 ROLL'!$F$9*( ((1+'3 ROLL'!$F$12)^roll!B46 - 1) /'3 ROLL'!$F$12)</f>
        <v>37871662.308234192</v>
      </c>
      <c r="F46" s="111">
        <f>'3 ROLL'!$F$14*'3 ROLL'!$F$9*( ((1+'3 ROLL'!$F$15)^roll!B46 - 1) /'3 ROLL'!$F$15)</f>
        <v>757433246.16468394</v>
      </c>
      <c r="G46" s="111">
        <f>'3 ROLL'!$F$17*'3 ROLL'!$F$9*( ((1+'3 ROLL'!$F$18)^roll!B46 - 1) /'3 ROLL'!$F$18)</f>
        <v>113614.98692470258</v>
      </c>
      <c r="H46" s="111">
        <f>'3 ROLL'!$F$20*'3 ROLL'!$F$9*( ((1+'3 ROLL'!$F$21)^roll!B46 - 1) /'3 ROLL'!$F$21)</f>
        <v>75743.324616468395</v>
      </c>
      <c r="I46" s="109"/>
      <c r="J46" s="48">
        <f t="shared" si="9"/>
        <v>1</v>
      </c>
      <c r="K46" s="48">
        <f>'3 ROLL'!$F$24*'3 ROLL'!$F$48*roll!J46</f>
        <v>0.65</v>
      </c>
      <c r="L46" s="50">
        <f t="shared" si="2"/>
        <v>24616580.500352226</v>
      </c>
      <c r="M46" s="108"/>
      <c r="N46" s="48">
        <f t="shared" si="3"/>
        <v>1.1479170000000001</v>
      </c>
      <c r="O46" s="48">
        <f>'3 ROLL'!$F$27*'3 ROLL'!$F$49*roll!N46</f>
        <v>0.17907505200000001</v>
      </c>
      <c r="P46" s="50">
        <f t="shared" si="4"/>
        <v>135637397.94346958</v>
      </c>
      <c r="Q46" s="106"/>
      <c r="R46" s="48">
        <f t="shared" si="5"/>
        <v>1.1479170000000001</v>
      </c>
      <c r="S46" s="48">
        <f>'3 ROLL'!$F$30*'3 ROLL'!$F$49*roll!R46</f>
        <v>0.11938336800000002</v>
      </c>
      <c r="T46" s="50">
        <f t="shared" si="6"/>
        <v>13563.739794346959</v>
      </c>
      <c r="U46" s="106"/>
      <c r="V46" s="48">
        <f t="shared" si="7"/>
        <v>1.1479170000000001</v>
      </c>
      <c r="W46" s="48">
        <f>'3 ROLL'!$F$33*'3 ROLL'!$F$50*roll!V46</f>
        <v>0</v>
      </c>
      <c r="X46" s="50">
        <f t="shared" si="8"/>
        <v>0</v>
      </c>
    </row>
    <row r="47" spans="2:24" ht="14.5" customHeight="1" x14ac:dyDescent="0.35">
      <c r="B47" s="91">
        <f t="shared" si="1"/>
        <v>43</v>
      </c>
      <c r="C47" s="49">
        <f>IF(B47&lt;='3 ROLL'!$F$41,'3 ROLL'!$F$37+B46*'3 ROLL'!$F$38,
IF(B47&lt;=2*'3 ROLL'!$F$41,'3 ROLL'!$F$37+ (B46-'3 ROLL'!$F$41) *'3 ROLL'!$F$38,
IF(B47&lt;=3*'3 ROLL'!$F$41,'3 ROLL'!$F$37+ (B46-2*'3 ROLL'!$F$41) *'3 ROLL'!$F$38,
IF(B47&lt;=4*'3 ROLL'!$F$41,'3 ROLL'!$F$37+ (B46-3*'3 ROLL'!$F$41) *'3 ROLL'!$F$38,
IF(B47&lt;=5*'3 ROLL'!$F$41,'3 ROLL'!$F$37+ (B46-4*'3 ROLL'!$F$41) *'3 ROLL'!$F$38,
IF(B47&lt;=6*'3 ROLL'!$F$41,'3 ROLL'!$F$37+ (B46-5*'3 ROLL'!$F$41) *'3 ROLL'!$F$38,
IF(B47&lt;=7*'3 ROLL'!$F$41,'3 ROLL'!$F$37+ (B46-6*'3 ROLL'!$F$41) *'3 ROLL'!$F$38,
IF(B47&lt;=8*'3 ROLL'!$F$41,'3 ROLL'!$F$37+ (B46-7*'3 ROLL'!$F$41) *'3 ROLL'!$F$38,
IF(B47&lt;=9*'3 ROLL'!$F$41,'3 ROLL'!$F$37+ (B46-8*'3 ROLL'!$F$41) *'3 ROLL'!$F$38,
IF(B47&lt;=10*'3 ROLL'!$F$41,'3 ROLL'!$F$37+ (B46-9*'3 ROLL'!$F$41) *'3 ROLL'!$F$38,
IF(B47&lt;=11*'3 ROLL'!$F$41,'3 ROLL'!$F$37+ (B46-10*'3 ROLL'!$F$41) *'3 ROLL'!$F$38,
IF(B47&lt;=12*'3 ROLL'!$F$41,'3 ROLL'!$F$37+ (B46-11*'3 ROLL'!$F$41) *'3 ROLL'!$F$38,
IF(B47&lt;=13*'3 ROLL'!$F$41,'3 ROLL'!$F$37+ (B46-12*'3 ROLL'!$F$41) *'3 ROLL'!$F$38,
IF(B47&lt;=14*'3 ROLL'!$F$41,'3 ROLL'!$F$37+ (B46-13*'3 ROLL'!$F$41) *'3 ROLL'!$F$38,
IF(B47&lt;=15*'3 ROLL'!$F$41,'3 ROLL'!$F$37+ (B46-14*'3 ROLL'!$F$41) *'3 ROLL'!$F$38,
IF(B47&lt;=16*'3 ROLL'!$F$41,'3 ROLL'!$F$37+ (B46-15*'3 ROLL'!$F$41) *'3 ROLL'!$F$38,
IF(B47&lt;=17*'3 ROLL'!$F$41,'3 ROLL'!$F$37+ (B46-16*'3 ROLL'!$F$41) *'3 ROLL'!$F$38,
IF(B47&lt;=18*'3 ROLL'!$F$41,'3 ROLL'!$F$37+ (B46-17*'3 ROLL'!$F$41) *'3 ROLL'!$F$38,
IF(B47&lt;=19*'3 ROLL'!$F$41,'3 ROLL'!$F$37+ (B46-18*'3 ROLL'!$F$41) *'3 ROLL'!$F$38,
IF(B47&lt;=20*'3 ROLL'!$F$41,'3 ROLL'!$F$37+ (B46-19*'3 ROLL'!$F$41) *'3 ROLL'!$F$38, ""
) ) ) ) ) ) ) ) ) ) ) ) ) ) ) ) ) ) ) )</f>
        <v>2.2000000000000002</v>
      </c>
      <c r="D47" s="105"/>
      <c r="E47" s="111">
        <f>'3 ROLL'!$F$11*'3 ROLL'!$F$9*( ((1+'3 ROLL'!$F$12)^roll!B47 - 1) /'3 ROLL'!$F$12)</f>
        <v>38980378.931316502</v>
      </c>
      <c r="F47" s="111">
        <f>'3 ROLL'!$F$14*'3 ROLL'!$F$9*( ((1+'3 ROLL'!$F$15)^roll!B47 - 1) /'3 ROLL'!$F$15)</f>
        <v>779607578.62633002</v>
      </c>
      <c r="G47" s="111">
        <f>'3 ROLL'!$F$17*'3 ROLL'!$F$9*( ((1+'3 ROLL'!$F$18)^roll!B47 - 1) /'3 ROLL'!$F$18)</f>
        <v>116941.13679394951</v>
      </c>
      <c r="H47" s="111">
        <f>'3 ROLL'!$F$20*'3 ROLL'!$F$9*( ((1+'3 ROLL'!$F$21)^roll!B47 - 1) /'3 ROLL'!$F$21)</f>
        <v>77960.757862633007</v>
      </c>
      <c r="I47" s="109"/>
      <c r="J47" s="48">
        <f t="shared" si="9"/>
        <v>1.000586</v>
      </c>
      <c r="K47" s="48">
        <f>'3 ROLL'!$F$24*'3 ROLL'!$F$48*roll!J47</f>
        <v>0.65038090000000004</v>
      </c>
      <c r="L47" s="50">
        <f t="shared" si="2"/>
        <v>25352093.931690667</v>
      </c>
      <c r="M47" s="108"/>
      <c r="N47" s="48">
        <f t="shared" si="3"/>
        <v>1.155294</v>
      </c>
      <c r="O47" s="48">
        <f>'3 ROLL'!$F$27*'3 ROLL'!$F$49*roll!N47</f>
        <v>0.18022586400000001</v>
      </c>
      <c r="P47" s="50">
        <f t="shared" si="4"/>
        <v>140505449.43887827</v>
      </c>
      <c r="Q47" s="106"/>
      <c r="R47" s="48">
        <f t="shared" si="5"/>
        <v>1.155294</v>
      </c>
      <c r="S47" s="48">
        <f>'3 ROLL'!$F$30*'3 ROLL'!$F$49*roll!R47</f>
        <v>0.12015057600000001</v>
      </c>
      <c r="T47" s="50">
        <f t="shared" si="6"/>
        <v>14050.544943887828</v>
      </c>
      <c r="U47" s="106"/>
      <c r="V47" s="48">
        <f t="shared" si="7"/>
        <v>1.155294</v>
      </c>
      <c r="W47" s="48">
        <f>'3 ROLL'!$F$33*'3 ROLL'!$F$50*roll!V47</f>
        <v>0</v>
      </c>
      <c r="X47" s="50">
        <f t="shared" si="8"/>
        <v>0</v>
      </c>
    </row>
    <row r="48" spans="2:24" ht="14.5" customHeight="1" x14ac:dyDescent="0.35">
      <c r="B48" s="91">
        <f t="shared" si="1"/>
        <v>44</v>
      </c>
      <c r="C48" s="49">
        <f>IF(B48&lt;='3 ROLL'!$F$41,'3 ROLL'!$F$37+B47*'3 ROLL'!$F$38,
IF(B48&lt;=2*'3 ROLL'!$F$41,'3 ROLL'!$F$37+ (B47-'3 ROLL'!$F$41) *'3 ROLL'!$F$38,
IF(B48&lt;=3*'3 ROLL'!$F$41,'3 ROLL'!$F$37+ (B47-2*'3 ROLL'!$F$41) *'3 ROLL'!$F$38,
IF(B48&lt;=4*'3 ROLL'!$F$41,'3 ROLL'!$F$37+ (B47-3*'3 ROLL'!$F$41) *'3 ROLL'!$F$38,
IF(B48&lt;=5*'3 ROLL'!$F$41,'3 ROLL'!$F$37+ (B47-4*'3 ROLL'!$F$41) *'3 ROLL'!$F$38,
IF(B48&lt;=6*'3 ROLL'!$F$41,'3 ROLL'!$F$37+ (B47-5*'3 ROLL'!$F$41) *'3 ROLL'!$F$38,
IF(B48&lt;=7*'3 ROLL'!$F$41,'3 ROLL'!$F$37+ (B47-6*'3 ROLL'!$F$41) *'3 ROLL'!$F$38,
IF(B48&lt;=8*'3 ROLL'!$F$41,'3 ROLL'!$F$37+ (B47-7*'3 ROLL'!$F$41) *'3 ROLL'!$F$38,
IF(B48&lt;=9*'3 ROLL'!$F$41,'3 ROLL'!$F$37+ (B47-8*'3 ROLL'!$F$41) *'3 ROLL'!$F$38,
IF(B48&lt;=10*'3 ROLL'!$F$41,'3 ROLL'!$F$37+ (B47-9*'3 ROLL'!$F$41) *'3 ROLL'!$F$38,
IF(B48&lt;=11*'3 ROLL'!$F$41,'3 ROLL'!$F$37+ (B47-10*'3 ROLL'!$F$41) *'3 ROLL'!$F$38,
IF(B48&lt;=12*'3 ROLL'!$F$41,'3 ROLL'!$F$37+ (B47-11*'3 ROLL'!$F$41) *'3 ROLL'!$F$38,
IF(B48&lt;=13*'3 ROLL'!$F$41,'3 ROLL'!$F$37+ (B47-12*'3 ROLL'!$F$41) *'3 ROLL'!$F$38,
IF(B48&lt;=14*'3 ROLL'!$F$41,'3 ROLL'!$F$37+ (B47-13*'3 ROLL'!$F$41) *'3 ROLL'!$F$38,
IF(B48&lt;=15*'3 ROLL'!$F$41,'3 ROLL'!$F$37+ (B47-14*'3 ROLL'!$F$41) *'3 ROLL'!$F$38,
IF(B48&lt;=16*'3 ROLL'!$F$41,'3 ROLL'!$F$37+ (B47-15*'3 ROLL'!$F$41) *'3 ROLL'!$F$38,
IF(B48&lt;=17*'3 ROLL'!$F$41,'3 ROLL'!$F$37+ (B47-16*'3 ROLL'!$F$41) *'3 ROLL'!$F$38,
IF(B48&lt;=18*'3 ROLL'!$F$41,'3 ROLL'!$F$37+ (B47-17*'3 ROLL'!$F$41) *'3 ROLL'!$F$38,
IF(B48&lt;=19*'3 ROLL'!$F$41,'3 ROLL'!$F$37+ (B47-18*'3 ROLL'!$F$41) *'3 ROLL'!$F$38,
IF(B48&lt;=20*'3 ROLL'!$F$41,'3 ROLL'!$F$37+ (B47-19*'3 ROLL'!$F$41) *'3 ROLL'!$F$38, ""
) ) ) ) ) ) ) ) ) ) ) ) ) ) ) ) ) ) ) )</f>
        <v>2.2999999999999998</v>
      </c>
      <c r="D48" s="105"/>
      <c r="E48" s="111">
        <f>'3 ROLL'!$F$11*'3 ROLL'!$F$9*( ((1+'3 ROLL'!$F$12)^roll!B48 - 1) /'3 ROLL'!$F$12)</f>
        <v>40100182.720629677</v>
      </c>
      <c r="F48" s="111">
        <f>'3 ROLL'!$F$14*'3 ROLL'!$F$9*( ((1+'3 ROLL'!$F$15)^roll!B48 - 1) /'3 ROLL'!$F$15)</f>
        <v>802003654.41259348</v>
      </c>
      <c r="G48" s="111">
        <f>'3 ROLL'!$F$17*'3 ROLL'!$F$9*( ((1+'3 ROLL'!$F$18)^roll!B48 - 1) /'3 ROLL'!$F$18)</f>
        <v>120300.54816188903</v>
      </c>
      <c r="H48" s="111">
        <f>'3 ROLL'!$F$20*'3 ROLL'!$F$9*( ((1+'3 ROLL'!$F$21)^roll!B48 - 1) /'3 ROLL'!$F$21)</f>
        <v>80200.365441259346</v>
      </c>
      <c r="I48" s="109"/>
      <c r="J48" s="48">
        <f t="shared" si="9"/>
        <v>1.0027489999999999</v>
      </c>
      <c r="K48" s="48">
        <f>'3 ROLL'!$F$24*'3 ROLL'!$F$48*roll!J48</f>
        <v>0.65178684999999992</v>
      </c>
      <c r="L48" s="50">
        <f t="shared" si="2"/>
        <v>26136771.779903643</v>
      </c>
      <c r="M48" s="108"/>
      <c r="N48" s="48">
        <f t="shared" si="3"/>
        <v>1.162671</v>
      </c>
      <c r="O48" s="48">
        <f>'3 ROLL'!$F$27*'3 ROLL'!$F$49*roll!N48</f>
        <v>0.18137667600000001</v>
      </c>
      <c r="P48" s="50">
        <f t="shared" si="4"/>
        <v>145464756.97720894</v>
      </c>
      <c r="Q48" s="106"/>
      <c r="R48" s="48">
        <f t="shared" si="5"/>
        <v>1.162671</v>
      </c>
      <c r="S48" s="48">
        <f>'3 ROLL'!$F$30*'3 ROLL'!$F$49*roll!R48</f>
        <v>0.12091778400000001</v>
      </c>
      <c r="T48" s="50">
        <f t="shared" si="6"/>
        <v>14546.475697720896</v>
      </c>
      <c r="U48" s="106"/>
      <c r="V48" s="48">
        <f t="shared" si="7"/>
        <v>1.162671</v>
      </c>
      <c r="W48" s="48">
        <f>'3 ROLL'!$F$33*'3 ROLL'!$F$50*roll!V48</f>
        <v>0</v>
      </c>
      <c r="X48" s="50">
        <f t="shared" si="8"/>
        <v>0</v>
      </c>
    </row>
    <row r="49" spans="2:24" ht="14.5" customHeight="1" x14ac:dyDescent="0.35">
      <c r="B49" s="91">
        <f t="shared" si="1"/>
        <v>45</v>
      </c>
      <c r="C49" s="49">
        <f>IF(B49&lt;='3 ROLL'!$F$41,'3 ROLL'!$F$37+B48*'3 ROLL'!$F$38,
IF(B49&lt;=2*'3 ROLL'!$F$41,'3 ROLL'!$F$37+ (B48-'3 ROLL'!$F$41) *'3 ROLL'!$F$38,
IF(B49&lt;=3*'3 ROLL'!$F$41,'3 ROLL'!$F$37+ (B48-2*'3 ROLL'!$F$41) *'3 ROLL'!$F$38,
IF(B49&lt;=4*'3 ROLL'!$F$41,'3 ROLL'!$F$37+ (B48-3*'3 ROLL'!$F$41) *'3 ROLL'!$F$38,
IF(B49&lt;=5*'3 ROLL'!$F$41,'3 ROLL'!$F$37+ (B48-4*'3 ROLL'!$F$41) *'3 ROLL'!$F$38,
IF(B49&lt;=6*'3 ROLL'!$F$41,'3 ROLL'!$F$37+ (B48-5*'3 ROLL'!$F$41) *'3 ROLL'!$F$38,
IF(B49&lt;=7*'3 ROLL'!$F$41,'3 ROLL'!$F$37+ (B48-6*'3 ROLL'!$F$41) *'3 ROLL'!$F$38,
IF(B49&lt;=8*'3 ROLL'!$F$41,'3 ROLL'!$F$37+ (B48-7*'3 ROLL'!$F$41) *'3 ROLL'!$F$38,
IF(B49&lt;=9*'3 ROLL'!$F$41,'3 ROLL'!$F$37+ (B48-8*'3 ROLL'!$F$41) *'3 ROLL'!$F$38,
IF(B49&lt;=10*'3 ROLL'!$F$41,'3 ROLL'!$F$37+ (B48-9*'3 ROLL'!$F$41) *'3 ROLL'!$F$38,
IF(B49&lt;=11*'3 ROLL'!$F$41,'3 ROLL'!$F$37+ (B48-10*'3 ROLL'!$F$41) *'3 ROLL'!$F$38,
IF(B49&lt;=12*'3 ROLL'!$F$41,'3 ROLL'!$F$37+ (B48-11*'3 ROLL'!$F$41) *'3 ROLL'!$F$38,
IF(B49&lt;=13*'3 ROLL'!$F$41,'3 ROLL'!$F$37+ (B48-12*'3 ROLL'!$F$41) *'3 ROLL'!$F$38,
IF(B49&lt;=14*'3 ROLL'!$F$41,'3 ROLL'!$F$37+ (B48-13*'3 ROLL'!$F$41) *'3 ROLL'!$F$38,
IF(B49&lt;=15*'3 ROLL'!$F$41,'3 ROLL'!$F$37+ (B48-14*'3 ROLL'!$F$41) *'3 ROLL'!$F$38,
IF(B49&lt;=16*'3 ROLL'!$F$41,'3 ROLL'!$F$37+ (B48-15*'3 ROLL'!$F$41) *'3 ROLL'!$F$38,
IF(B49&lt;=17*'3 ROLL'!$F$41,'3 ROLL'!$F$37+ (B48-16*'3 ROLL'!$F$41) *'3 ROLL'!$F$38,
IF(B49&lt;=18*'3 ROLL'!$F$41,'3 ROLL'!$F$37+ (B48-17*'3 ROLL'!$F$41) *'3 ROLL'!$F$38,
IF(B49&lt;=19*'3 ROLL'!$F$41,'3 ROLL'!$F$37+ (B48-18*'3 ROLL'!$F$41) *'3 ROLL'!$F$38,
IF(B49&lt;=20*'3 ROLL'!$F$41,'3 ROLL'!$F$37+ (B48-19*'3 ROLL'!$F$41) *'3 ROLL'!$F$38, ""
) ) ) ) ) ) ) ) ) ) ) ) ) ) ) ) ) ) ) )</f>
        <v>2.4</v>
      </c>
      <c r="D49" s="105"/>
      <c r="E49" s="111">
        <f>'3 ROLL'!$F$11*'3 ROLL'!$F$9*( ((1+'3 ROLL'!$F$12)^roll!B49 - 1) /'3 ROLL'!$F$12)</f>
        <v>41231184.547835976</v>
      </c>
      <c r="F49" s="111">
        <f>'3 ROLL'!$F$14*'3 ROLL'!$F$9*( ((1+'3 ROLL'!$F$15)^roll!B49 - 1) /'3 ROLL'!$F$15)</f>
        <v>824623690.95671952</v>
      </c>
      <c r="G49" s="111">
        <f>'3 ROLL'!$F$17*'3 ROLL'!$F$9*( ((1+'3 ROLL'!$F$18)^roll!B49 - 1) /'3 ROLL'!$F$18)</f>
        <v>123693.55364350793</v>
      </c>
      <c r="H49" s="111">
        <f>'3 ROLL'!$F$20*'3 ROLL'!$F$9*( ((1+'3 ROLL'!$F$21)^roll!B49 - 1) /'3 ROLL'!$F$21)</f>
        <v>82462.369095671951</v>
      </c>
      <c r="I49" s="109"/>
      <c r="J49" s="48">
        <f t="shared" si="9"/>
        <v>1.004912</v>
      </c>
      <c r="K49" s="48">
        <f>'3 ROLL'!$F$24*'3 ROLL'!$F$48*roll!J49</f>
        <v>0.65319280000000002</v>
      </c>
      <c r="L49" s="50">
        <f t="shared" si="2"/>
        <v>26931912.882117715</v>
      </c>
      <c r="M49" s="108"/>
      <c r="N49" s="48">
        <f t="shared" si="3"/>
        <v>1.170048</v>
      </c>
      <c r="O49" s="48">
        <f>'3 ROLL'!$F$27*'3 ROLL'!$F$49*roll!N49</f>
        <v>0.18252748799999999</v>
      </c>
      <c r="P49" s="50">
        <f t="shared" si="4"/>
        <v>150516490.85561833</v>
      </c>
      <c r="Q49" s="106"/>
      <c r="R49" s="48">
        <f t="shared" si="5"/>
        <v>1.170048</v>
      </c>
      <c r="S49" s="48">
        <f>'3 ROLL'!$F$30*'3 ROLL'!$F$49*roll!R49</f>
        <v>0.12168499200000001</v>
      </c>
      <c r="T49" s="50">
        <f t="shared" si="6"/>
        <v>15051.649085561834</v>
      </c>
      <c r="U49" s="106"/>
      <c r="V49" s="48">
        <f t="shared" si="7"/>
        <v>1.170048</v>
      </c>
      <c r="W49" s="48">
        <f>'3 ROLL'!$F$33*'3 ROLL'!$F$50*roll!V49</f>
        <v>0</v>
      </c>
      <c r="X49" s="50">
        <f t="shared" si="8"/>
        <v>0</v>
      </c>
    </row>
    <row r="50" spans="2:24" ht="14.5" customHeight="1" x14ac:dyDescent="0.35">
      <c r="B50" s="91">
        <f t="shared" si="1"/>
        <v>46</v>
      </c>
      <c r="C50" s="49">
        <f>IF(B50&lt;='3 ROLL'!$F$41,'3 ROLL'!$F$37+B49*'3 ROLL'!$F$38,
IF(B50&lt;=2*'3 ROLL'!$F$41,'3 ROLL'!$F$37+ (B49-'3 ROLL'!$F$41) *'3 ROLL'!$F$38,
IF(B50&lt;=3*'3 ROLL'!$F$41,'3 ROLL'!$F$37+ (B49-2*'3 ROLL'!$F$41) *'3 ROLL'!$F$38,
IF(B50&lt;=4*'3 ROLL'!$F$41,'3 ROLL'!$F$37+ (B49-3*'3 ROLL'!$F$41) *'3 ROLL'!$F$38,
IF(B50&lt;=5*'3 ROLL'!$F$41,'3 ROLL'!$F$37+ (B49-4*'3 ROLL'!$F$41) *'3 ROLL'!$F$38,
IF(B50&lt;=6*'3 ROLL'!$F$41,'3 ROLL'!$F$37+ (B49-5*'3 ROLL'!$F$41) *'3 ROLL'!$F$38,
IF(B50&lt;=7*'3 ROLL'!$F$41,'3 ROLL'!$F$37+ (B49-6*'3 ROLL'!$F$41) *'3 ROLL'!$F$38,
IF(B50&lt;=8*'3 ROLL'!$F$41,'3 ROLL'!$F$37+ (B49-7*'3 ROLL'!$F$41) *'3 ROLL'!$F$38,
IF(B50&lt;=9*'3 ROLL'!$F$41,'3 ROLL'!$F$37+ (B49-8*'3 ROLL'!$F$41) *'3 ROLL'!$F$38,
IF(B50&lt;=10*'3 ROLL'!$F$41,'3 ROLL'!$F$37+ (B49-9*'3 ROLL'!$F$41) *'3 ROLL'!$F$38,
IF(B50&lt;=11*'3 ROLL'!$F$41,'3 ROLL'!$F$37+ (B49-10*'3 ROLL'!$F$41) *'3 ROLL'!$F$38,
IF(B50&lt;=12*'3 ROLL'!$F$41,'3 ROLL'!$F$37+ (B49-11*'3 ROLL'!$F$41) *'3 ROLL'!$F$38,
IF(B50&lt;=13*'3 ROLL'!$F$41,'3 ROLL'!$F$37+ (B49-12*'3 ROLL'!$F$41) *'3 ROLL'!$F$38,
IF(B50&lt;=14*'3 ROLL'!$F$41,'3 ROLL'!$F$37+ (B49-13*'3 ROLL'!$F$41) *'3 ROLL'!$F$38,
IF(B50&lt;=15*'3 ROLL'!$F$41,'3 ROLL'!$F$37+ (B49-14*'3 ROLL'!$F$41) *'3 ROLL'!$F$38,
IF(B50&lt;=16*'3 ROLL'!$F$41,'3 ROLL'!$F$37+ (B49-15*'3 ROLL'!$F$41) *'3 ROLL'!$F$38,
IF(B50&lt;=17*'3 ROLL'!$F$41,'3 ROLL'!$F$37+ (B49-16*'3 ROLL'!$F$41) *'3 ROLL'!$F$38,
IF(B50&lt;=18*'3 ROLL'!$F$41,'3 ROLL'!$F$37+ (B49-17*'3 ROLL'!$F$41) *'3 ROLL'!$F$38,
IF(B50&lt;=19*'3 ROLL'!$F$41,'3 ROLL'!$F$37+ (B49-18*'3 ROLL'!$F$41) *'3 ROLL'!$F$38,
IF(B50&lt;=20*'3 ROLL'!$F$41,'3 ROLL'!$F$37+ (B49-19*'3 ROLL'!$F$41) *'3 ROLL'!$F$38, ""
) ) ) ) ) ) ) ) ) ) ) ) ) ) ) ) ) ) ) )</f>
        <v>2.5</v>
      </c>
      <c r="D50" s="105"/>
      <c r="E50" s="111">
        <f>'3 ROLL'!$F$11*'3 ROLL'!$F$9*( ((1+'3 ROLL'!$F$12)^roll!B50 - 1) /'3 ROLL'!$F$12)</f>
        <v>42373496.393314354</v>
      </c>
      <c r="F50" s="111">
        <f>'3 ROLL'!$F$14*'3 ROLL'!$F$9*( ((1+'3 ROLL'!$F$15)^roll!B50 - 1) /'3 ROLL'!$F$15)</f>
        <v>847469927.86628699</v>
      </c>
      <c r="G50" s="111">
        <f>'3 ROLL'!$F$17*'3 ROLL'!$F$9*( ((1+'3 ROLL'!$F$18)^roll!B50 - 1) /'3 ROLL'!$F$18)</f>
        <v>127120.48917994306</v>
      </c>
      <c r="H50" s="111">
        <f>'3 ROLL'!$F$20*'3 ROLL'!$F$9*( ((1+'3 ROLL'!$F$21)^roll!B50 - 1) /'3 ROLL'!$F$21)</f>
        <v>84746.992786628703</v>
      </c>
      <c r="I50" s="109"/>
      <c r="J50" s="48">
        <f t="shared" si="9"/>
        <v>1.0070749999999999</v>
      </c>
      <c r="K50" s="48">
        <f>'3 ROLL'!$F$24*'3 ROLL'!$F$48*roll!J50</f>
        <v>0.65459875000000001</v>
      </c>
      <c r="L50" s="50">
        <f t="shared" si="2"/>
        <v>27737637.772193085</v>
      </c>
      <c r="M50" s="108"/>
      <c r="N50" s="48">
        <f t="shared" si="3"/>
        <v>1.1774249999999999</v>
      </c>
      <c r="O50" s="48">
        <f>'3 ROLL'!$F$27*'3 ROLL'!$F$49*roll!N50</f>
        <v>0.18367829999999999</v>
      </c>
      <c r="P50" s="50">
        <f t="shared" si="4"/>
        <v>155661835.65160221</v>
      </c>
      <c r="Q50" s="106"/>
      <c r="R50" s="48">
        <f t="shared" si="5"/>
        <v>1.1774249999999999</v>
      </c>
      <c r="S50" s="48">
        <f>'3 ROLL'!$F$30*'3 ROLL'!$F$49*roll!R50</f>
        <v>0.12245220000000001</v>
      </c>
      <c r="T50" s="50">
        <f t="shared" si="6"/>
        <v>15566.183565160225</v>
      </c>
      <c r="U50" s="106"/>
      <c r="V50" s="48">
        <f t="shared" si="7"/>
        <v>1.1774249999999999</v>
      </c>
      <c r="W50" s="48">
        <f>'3 ROLL'!$F$33*'3 ROLL'!$F$50*roll!V50</f>
        <v>0</v>
      </c>
      <c r="X50" s="50">
        <f t="shared" si="8"/>
        <v>0</v>
      </c>
    </row>
    <row r="51" spans="2:24" ht="14.5" customHeight="1" x14ac:dyDescent="0.35">
      <c r="B51" s="91">
        <f t="shared" si="1"/>
        <v>47</v>
      </c>
      <c r="C51" s="49">
        <f>IF(B51&lt;='3 ROLL'!$F$41,'3 ROLL'!$F$37+B50*'3 ROLL'!$F$38,
IF(B51&lt;=2*'3 ROLL'!$F$41,'3 ROLL'!$F$37+ (B50-'3 ROLL'!$F$41) *'3 ROLL'!$F$38,
IF(B51&lt;=3*'3 ROLL'!$F$41,'3 ROLL'!$F$37+ (B50-2*'3 ROLL'!$F$41) *'3 ROLL'!$F$38,
IF(B51&lt;=4*'3 ROLL'!$F$41,'3 ROLL'!$F$37+ (B50-3*'3 ROLL'!$F$41) *'3 ROLL'!$F$38,
IF(B51&lt;=5*'3 ROLL'!$F$41,'3 ROLL'!$F$37+ (B50-4*'3 ROLL'!$F$41) *'3 ROLL'!$F$38,
IF(B51&lt;=6*'3 ROLL'!$F$41,'3 ROLL'!$F$37+ (B50-5*'3 ROLL'!$F$41) *'3 ROLL'!$F$38,
IF(B51&lt;=7*'3 ROLL'!$F$41,'3 ROLL'!$F$37+ (B50-6*'3 ROLL'!$F$41) *'3 ROLL'!$F$38,
IF(B51&lt;=8*'3 ROLL'!$F$41,'3 ROLL'!$F$37+ (B50-7*'3 ROLL'!$F$41) *'3 ROLL'!$F$38,
IF(B51&lt;=9*'3 ROLL'!$F$41,'3 ROLL'!$F$37+ (B50-8*'3 ROLL'!$F$41) *'3 ROLL'!$F$38,
IF(B51&lt;=10*'3 ROLL'!$F$41,'3 ROLL'!$F$37+ (B50-9*'3 ROLL'!$F$41) *'3 ROLL'!$F$38,
IF(B51&lt;=11*'3 ROLL'!$F$41,'3 ROLL'!$F$37+ (B50-10*'3 ROLL'!$F$41) *'3 ROLL'!$F$38,
IF(B51&lt;=12*'3 ROLL'!$F$41,'3 ROLL'!$F$37+ (B50-11*'3 ROLL'!$F$41) *'3 ROLL'!$F$38,
IF(B51&lt;=13*'3 ROLL'!$F$41,'3 ROLL'!$F$37+ (B50-12*'3 ROLL'!$F$41) *'3 ROLL'!$F$38,
IF(B51&lt;=14*'3 ROLL'!$F$41,'3 ROLL'!$F$37+ (B50-13*'3 ROLL'!$F$41) *'3 ROLL'!$F$38,
IF(B51&lt;=15*'3 ROLL'!$F$41,'3 ROLL'!$F$37+ (B50-14*'3 ROLL'!$F$41) *'3 ROLL'!$F$38,
IF(B51&lt;=16*'3 ROLL'!$F$41,'3 ROLL'!$F$37+ (B50-15*'3 ROLL'!$F$41) *'3 ROLL'!$F$38,
IF(B51&lt;=17*'3 ROLL'!$F$41,'3 ROLL'!$F$37+ (B50-16*'3 ROLL'!$F$41) *'3 ROLL'!$F$38,
IF(B51&lt;=18*'3 ROLL'!$F$41,'3 ROLL'!$F$37+ (B50-17*'3 ROLL'!$F$41) *'3 ROLL'!$F$38,
IF(B51&lt;=19*'3 ROLL'!$F$41,'3 ROLL'!$F$37+ (B50-18*'3 ROLL'!$F$41) *'3 ROLL'!$F$38,
IF(B51&lt;=20*'3 ROLL'!$F$41,'3 ROLL'!$F$37+ (B50-19*'3 ROLL'!$F$41) *'3 ROLL'!$F$38, ""
) ) ) ) ) ) ) ) ) ) ) ) ) ) ) ) ) ) ) )</f>
        <v>2.6</v>
      </c>
      <c r="D51" s="105"/>
      <c r="E51" s="111">
        <f>'3 ROLL'!$F$11*'3 ROLL'!$F$9*( ((1+'3 ROLL'!$F$12)^roll!B51 - 1) /'3 ROLL'!$F$12)</f>
        <v>43527231.357247457</v>
      </c>
      <c r="F51" s="111">
        <f>'3 ROLL'!$F$14*'3 ROLL'!$F$9*( ((1+'3 ROLL'!$F$15)^roll!B51 - 1) /'3 ROLL'!$F$15)</f>
        <v>870544627.1449492</v>
      </c>
      <c r="G51" s="111">
        <f>'3 ROLL'!$F$17*'3 ROLL'!$F$9*( ((1+'3 ROLL'!$F$18)^roll!B51 - 1) /'3 ROLL'!$F$18)</f>
        <v>130581.69407174237</v>
      </c>
      <c r="H51" s="111">
        <f>'3 ROLL'!$F$20*'3 ROLL'!$F$9*( ((1+'3 ROLL'!$F$21)^roll!B51 - 1) /'3 ROLL'!$F$21)</f>
        <v>87054.462714494919</v>
      </c>
      <c r="I51" s="109"/>
      <c r="J51" s="48">
        <f t="shared" si="9"/>
        <v>1.0092379999999999</v>
      </c>
      <c r="K51" s="48">
        <f>'3 ROLL'!$F$24*'3 ROLL'!$F$48*roll!J51</f>
        <v>0.65600469999999989</v>
      </c>
      <c r="L51" s="50">
        <f t="shared" si="2"/>
        <v>28554068.348341707</v>
      </c>
      <c r="M51" s="108"/>
      <c r="N51" s="48">
        <f t="shared" si="3"/>
        <v>1.1848019999999999</v>
      </c>
      <c r="O51" s="48">
        <f>'3 ROLL'!$F$27*'3 ROLL'!$F$49*roll!N51</f>
        <v>0.18482911199999999</v>
      </c>
      <c r="P51" s="50">
        <f t="shared" si="4"/>
        <v>160901990.39157206</v>
      </c>
      <c r="Q51" s="106"/>
      <c r="R51" s="48">
        <f t="shared" si="5"/>
        <v>1.1848019999999999</v>
      </c>
      <c r="S51" s="48">
        <f>'3 ROLL'!$F$30*'3 ROLL'!$F$49*roll!R51</f>
        <v>0.123219408</v>
      </c>
      <c r="T51" s="50">
        <f t="shared" si="6"/>
        <v>16090.199039157205</v>
      </c>
      <c r="U51" s="106"/>
      <c r="V51" s="48">
        <f t="shared" si="7"/>
        <v>1.1848019999999999</v>
      </c>
      <c r="W51" s="48">
        <f>'3 ROLL'!$F$33*'3 ROLL'!$F$50*roll!V51</f>
        <v>0</v>
      </c>
      <c r="X51" s="50">
        <f t="shared" si="8"/>
        <v>0</v>
      </c>
    </row>
    <row r="52" spans="2:24" ht="14.5" customHeight="1" x14ac:dyDescent="0.35">
      <c r="B52" s="91">
        <f t="shared" si="1"/>
        <v>48</v>
      </c>
      <c r="C52" s="49">
        <f>IF(B52&lt;='3 ROLL'!$F$41,'3 ROLL'!$F$37+B51*'3 ROLL'!$F$38,
IF(B52&lt;=2*'3 ROLL'!$F$41,'3 ROLL'!$F$37+ (B51-'3 ROLL'!$F$41) *'3 ROLL'!$F$38,
IF(B52&lt;=3*'3 ROLL'!$F$41,'3 ROLL'!$F$37+ (B51-2*'3 ROLL'!$F$41) *'3 ROLL'!$F$38,
IF(B52&lt;=4*'3 ROLL'!$F$41,'3 ROLL'!$F$37+ (B51-3*'3 ROLL'!$F$41) *'3 ROLL'!$F$38,
IF(B52&lt;=5*'3 ROLL'!$F$41,'3 ROLL'!$F$37+ (B51-4*'3 ROLL'!$F$41) *'3 ROLL'!$F$38,
IF(B52&lt;=6*'3 ROLL'!$F$41,'3 ROLL'!$F$37+ (B51-5*'3 ROLL'!$F$41) *'3 ROLL'!$F$38,
IF(B52&lt;=7*'3 ROLL'!$F$41,'3 ROLL'!$F$37+ (B51-6*'3 ROLL'!$F$41) *'3 ROLL'!$F$38,
IF(B52&lt;=8*'3 ROLL'!$F$41,'3 ROLL'!$F$37+ (B51-7*'3 ROLL'!$F$41) *'3 ROLL'!$F$38,
IF(B52&lt;=9*'3 ROLL'!$F$41,'3 ROLL'!$F$37+ (B51-8*'3 ROLL'!$F$41) *'3 ROLL'!$F$38,
IF(B52&lt;=10*'3 ROLL'!$F$41,'3 ROLL'!$F$37+ (B51-9*'3 ROLL'!$F$41) *'3 ROLL'!$F$38,
IF(B52&lt;=11*'3 ROLL'!$F$41,'3 ROLL'!$F$37+ (B51-10*'3 ROLL'!$F$41) *'3 ROLL'!$F$38,
IF(B52&lt;=12*'3 ROLL'!$F$41,'3 ROLL'!$F$37+ (B51-11*'3 ROLL'!$F$41) *'3 ROLL'!$F$38,
IF(B52&lt;=13*'3 ROLL'!$F$41,'3 ROLL'!$F$37+ (B51-12*'3 ROLL'!$F$41) *'3 ROLL'!$F$38,
IF(B52&lt;=14*'3 ROLL'!$F$41,'3 ROLL'!$F$37+ (B51-13*'3 ROLL'!$F$41) *'3 ROLL'!$F$38,
IF(B52&lt;=15*'3 ROLL'!$F$41,'3 ROLL'!$F$37+ (B51-14*'3 ROLL'!$F$41) *'3 ROLL'!$F$38,
IF(B52&lt;=16*'3 ROLL'!$F$41,'3 ROLL'!$F$37+ (B51-15*'3 ROLL'!$F$41) *'3 ROLL'!$F$38,
IF(B52&lt;=17*'3 ROLL'!$F$41,'3 ROLL'!$F$37+ (B51-16*'3 ROLL'!$F$41) *'3 ROLL'!$F$38,
IF(B52&lt;=18*'3 ROLL'!$F$41,'3 ROLL'!$F$37+ (B51-17*'3 ROLL'!$F$41) *'3 ROLL'!$F$38,
IF(B52&lt;=19*'3 ROLL'!$F$41,'3 ROLL'!$F$37+ (B51-18*'3 ROLL'!$F$41) *'3 ROLL'!$F$38,
IF(B52&lt;=20*'3 ROLL'!$F$41,'3 ROLL'!$F$37+ (B51-19*'3 ROLL'!$F$41) *'3 ROLL'!$F$38, ""
) ) ) ) ) ) ) ) ) ) ) ) ) ) ) ) ) ) ) )</f>
        <v>2.7</v>
      </c>
      <c r="D52" s="105"/>
      <c r="E52" s="111">
        <f>'3 ROLL'!$F$11*'3 ROLL'!$F$9*( ((1+'3 ROLL'!$F$12)^roll!B52 - 1) /'3 ROLL'!$F$12)</f>
        <v>44692503.670819961</v>
      </c>
      <c r="F52" s="111">
        <f>'3 ROLL'!$F$14*'3 ROLL'!$F$9*( ((1+'3 ROLL'!$F$15)^roll!B52 - 1) /'3 ROLL'!$F$15)</f>
        <v>893850073.41639924</v>
      </c>
      <c r="G52" s="111">
        <f>'3 ROLL'!$F$17*'3 ROLL'!$F$9*( ((1+'3 ROLL'!$F$18)^roll!B52 - 1) /'3 ROLL'!$F$18)</f>
        <v>134077.5110124599</v>
      </c>
      <c r="H52" s="111">
        <f>'3 ROLL'!$F$20*'3 ROLL'!$F$9*( ((1+'3 ROLL'!$F$21)^roll!B52 - 1) /'3 ROLL'!$F$21)</f>
        <v>89385.007341639925</v>
      </c>
      <c r="I52" s="109"/>
      <c r="J52" s="48">
        <f t="shared" si="9"/>
        <v>1.011401</v>
      </c>
      <c r="K52" s="48">
        <f>'3 ROLL'!$F$24*'3 ROLL'!$F$48*roll!J52</f>
        <v>0.65741064999999999</v>
      </c>
      <c r="L52" s="50">
        <f t="shared" si="2"/>
        <v>29381327.888361137</v>
      </c>
      <c r="M52" s="108"/>
      <c r="N52" s="48">
        <f t="shared" si="3"/>
        <v>1.1921790000000001</v>
      </c>
      <c r="O52" s="48">
        <f>'3 ROLL'!$F$27*'3 ROLL'!$F$49*roll!N52</f>
        <v>0.18597992400000002</v>
      </c>
      <c r="P52" s="50">
        <f t="shared" si="4"/>
        <v>166238168.72137636</v>
      </c>
      <c r="Q52" s="106"/>
      <c r="R52" s="48">
        <f t="shared" si="5"/>
        <v>1.1921790000000001</v>
      </c>
      <c r="S52" s="48">
        <f>'3 ROLL'!$F$30*'3 ROLL'!$F$49*roll!R52</f>
        <v>0.12398661600000002</v>
      </c>
      <c r="T52" s="50">
        <f t="shared" si="6"/>
        <v>16623.816872137639</v>
      </c>
      <c r="U52" s="106"/>
      <c r="V52" s="48">
        <f t="shared" si="7"/>
        <v>1.1921790000000001</v>
      </c>
      <c r="W52" s="48">
        <f>'3 ROLL'!$F$33*'3 ROLL'!$F$50*roll!V52</f>
        <v>0</v>
      </c>
      <c r="X52" s="50">
        <f t="shared" si="8"/>
        <v>0</v>
      </c>
    </row>
    <row r="53" spans="2:24" ht="14.5" customHeight="1" x14ac:dyDescent="0.35">
      <c r="B53" s="91">
        <f t="shared" si="1"/>
        <v>49</v>
      </c>
      <c r="C53" s="49">
        <f>IF(B53&lt;='3 ROLL'!$F$41,'3 ROLL'!$F$37+B52*'3 ROLL'!$F$38,
IF(B53&lt;=2*'3 ROLL'!$F$41,'3 ROLL'!$F$37+ (B52-'3 ROLL'!$F$41) *'3 ROLL'!$F$38,
IF(B53&lt;=3*'3 ROLL'!$F$41,'3 ROLL'!$F$37+ (B52-2*'3 ROLL'!$F$41) *'3 ROLL'!$F$38,
IF(B53&lt;=4*'3 ROLL'!$F$41,'3 ROLL'!$F$37+ (B52-3*'3 ROLL'!$F$41) *'3 ROLL'!$F$38,
IF(B53&lt;=5*'3 ROLL'!$F$41,'3 ROLL'!$F$37+ (B52-4*'3 ROLL'!$F$41) *'3 ROLL'!$F$38,
IF(B53&lt;=6*'3 ROLL'!$F$41,'3 ROLL'!$F$37+ (B52-5*'3 ROLL'!$F$41) *'3 ROLL'!$F$38,
IF(B53&lt;=7*'3 ROLL'!$F$41,'3 ROLL'!$F$37+ (B52-6*'3 ROLL'!$F$41) *'3 ROLL'!$F$38,
IF(B53&lt;=8*'3 ROLL'!$F$41,'3 ROLL'!$F$37+ (B52-7*'3 ROLL'!$F$41) *'3 ROLL'!$F$38,
IF(B53&lt;=9*'3 ROLL'!$F$41,'3 ROLL'!$F$37+ (B52-8*'3 ROLL'!$F$41) *'3 ROLL'!$F$38,
IF(B53&lt;=10*'3 ROLL'!$F$41,'3 ROLL'!$F$37+ (B52-9*'3 ROLL'!$F$41) *'3 ROLL'!$F$38,
IF(B53&lt;=11*'3 ROLL'!$F$41,'3 ROLL'!$F$37+ (B52-10*'3 ROLL'!$F$41) *'3 ROLL'!$F$38,
IF(B53&lt;=12*'3 ROLL'!$F$41,'3 ROLL'!$F$37+ (B52-11*'3 ROLL'!$F$41) *'3 ROLL'!$F$38,
IF(B53&lt;=13*'3 ROLL'!$F$41,'3 ROLL'!$F$37+ (B52-12*'3 ROLL'!$F$41) *'3 ROLL'!$F$38,
IF(B53&lt;=14*'3 ROLL'!$F$41,'3 ROLL'!$F$37+ (B52-13*'3 ROLL'!$F$41) *'3 ROLL'!$F$38,
IF(B53&lt;=15*'3 ROLL'!$F$41,'3 ROLL'!$F$37+ (B52-14*'3 ROLL'!$F$41) *'3 ROLL'!$F$38,
IF(B53&lt;=16*'3 ROLL'!$F$41,'3 ROLL'!$F$37+ (B52-15*'3 ROLL'!$F$41) *'3 ROLL'!$F$38,
IF(B53&lt;=17*'3 ROLL'!$F$41,'3 ROLL'!$F$37+ (B52-16*'3 ROLL'!$F$41) *'3 ROLL'!$F$38,
IF(B53&lt;=18*'3 ROLL'!$F$41,'3 ROLL'!$F$37+ (B52-17*'3 ROLL'!$F$41) *'3 ROLL'!$F$38,
IF(B53&lt;=19*'3 ROLL'!$F$41,'3 ROLL'!$F$37+ (B52-18*'3 ROLL'!$F$41) *'3 ROLL'!$F$38,
IF(B53&lt;=20*'3 ROLL'!$F$41,'3 ROLL'!$F$37+ (B52-19*'3 ROLL'!$F$41) *'3 ROLL'!$F$38, ""
) ) ) ) ) ) ) ) ) ) ) ) ) ) ) ) ) ) ) )</f>
        <v>2.8</v>
      </c>
      <c r="D53" s="105"/>
      <c r="E53" s="111">
        <f>'3 ROLL'!$F$11*'3 ROLL'!$F$9*( ((1+'3 ROLL'!$F$12)^roll!B53 - 1) /'3 ROLL'!$F$12)</f>
        <v>45869428.707528174</v>
      </c>
      <c r="F53" s="111">
        <f>'3 ROLL'!$F$14*'3 ROLL'!$F$9*( ((1+'3 ROLL'!$F$15)^roll!B53 - 1) /'3 ROLL'!$F$15)</f>
        <v>917388574.15056348</v>
      </c>
      <c r="G53" s="111">
        <f>'3 ROLL'!$F$17*'3 ROLL'!$F$9*( ((1+'3 ROLL'!$F$18)^roll!B53 - 1) /'3 ROLL'!$F$18)</f>
        <v>137608.28612258451</v>
      </c>
      <c r="H53" s="111">
        <f>'3 ROLL'!$F$20*'3 ROLL'!$F$9*( ((1+'3 ROLL'!$F$21)^roll!B53 - 1) /'3 ROLL'!$F$21)</f>
        <v>91738.857415056351</v>
      </c>
      <c r="I53" s="109"/>
      <c r="J53" s="48">
        <f t="shared" si="9"/>
        <v>1.0135639999999999</v>
      </c>
      <c r="K53" s="48">
        <f>'3 ROLL'!$F$24*'3 ROLL'!$F$48*roll!J53</f>
        <v>0.65881659999999997</v>
      </c>
      <c r="L53" s="50">
        <f t="shared" si="2"/>
        <v>30219541.065036103</v>
      </c>
      <c r="M53" s="108"/>
      <c r="N53" s="48">
        <f t="shared" si="3"/>
        <v>1.1995560000000001</v>
      </c>
      <c r="O53" s="48">
        <f>'3 ROLL'!$F$27*'3 ROLL'!$F$49*roll!N53</f>
        <v>0.18713073600000002</v>
      </c>
      <c r="P53" s="50">
        <f t="shared" si="4"/>
        <v>171671599.07878554</v>
      </c>
      <c r="Q53" s="106"/>
      <c r="R53" s="48">
        <f t="shared" si="5"/>
        <v>1.1995560000000001</v>
      </c>
      <c r="S53" s="48">
        <f>'3 ROLL'!$F$30*'3 ROLL'!$F$49*roll!R53</f>
        <v>0.12475382400000001</v>
      </c>
      <c r="T53" s="50">
        <f t="shared" si="6"/>
        <v>17167.159907878551</v>
      </c>
      <c r="U53" s="106"/>
      <c r="V53" s="48">
        <f t="shared" si="7"/>
        <v>1.1995560000000001</v>
      </c>
      <c r="W53" s="48">
        <f>'3 ROLL'!$F$33*'3 ROLL'!$F$50*roll!V53</f>
        <v>0</v>
      </c>
      <c r="X53" s="50">
        <f t="shared" si="8"/>
        <v>0</v>
      </c>
    </row>
    <row r="54" spans="2:24" ht="14.5" customHeight="1" x14ac:dyDescent="0.35">
      <c r="B54" s="91">
        <f t="shared" si="1"/>
        <v>50</v>
      </c>
      <c r="C54" s="49">
        <f>IF(B54&lt;='3 ROLL'!$F$41,'3 ROLL'!$F$37+B53*'3 ROLL'!$F$38,
IF(B54&lt;=2*'3 ROLL'!$F$41,'3 ROLL'!$F$37+ (B53-'3 ROLL'!$F$41) *'3 ROLL'!$F$38,
IF(B54&lt;=3*'3 ROLL'!$F$41,'3 ROLL'!$F$37+ (B53-2*'3 ROLL'!$F$41) *'3 ROLL'!$F$38,
IF(B54&lt;=4*'3 ROLL'!$F$41,'3 ROLL'!$F$37+ (B53-3*'3 ROLL'!$F$41) *'3 ROLL'!$F$38,
IF(B54&lt;=5*'3 ROLL'!$F$41,'3 ROLL'!$F$37+ (B53-4*'3 ROLL'!$F$41) *'3 ROLL'!$F$38,
IF(B54&lt;=6*'3 ROLL'!$F$41,'3 ROLL'!$F$37+ (B53-5*'3 ROLL'!$F$41) *'3 ROLL'!$F$38,
IF(B54&lt;=7*'3 ROLL'!$F$41,'3 ROLL'!$F$37+ (B53-6*'3 ROLL'!$F$41) *'3 ROLL'!$F$38,
IF(B54&lt;=8*'3 ROLL'!$F$41,'3 ROLL'!$F$37+ (B53-7*'3 ROLL'!$F$41) *'3 ROLL'!$F$38,
IF(B54&lt;=9*'3 ROLL'!$F$41,'3 ROLL'!$F$37+ (B53-8*'3 ROLL'!$F$41) *'3 ROLL'!$F$38,
IF(B54&lt;=10*'3 ROLL'!$F$41,'3 ROLL'!$F$37+ (B53-9*'3 ROLL'!$F$41) *'3 ROLL'!$F$38,
IF(B54&lt;=11*'3 ROLL'!$F$41,'3 ROLL'!$F$37+ (B53-10*'3 ROLL'!$F$41) *'3 ROLL'!$F$38,
IF(B54&lt;=12*'3 ROLL'!$F$41,'3 ROLL'!$F$37+ (B53-11*'3 ROLL'!$F$41) *'3 ROLL'!$F$38,
IF(B54&lt;=13*'3 ROLL'!$F$41,'3 ROLL'!$F$37+ (B53-12*'3 ROLL'!$F$41) *'3 ROLL'!$F$38,
IF(B54&lt;=14*'3 ROLL'!$F$41,'3 ROLL'!$F$37+ (B53-13*'3 ROLL'!$F$41) *'3 ROLL'!$F$38,
IF(B54&lt;=15*'3 ROLL'!$F$41,'3 ROLL'!$F$37+ (B53-14*'3 ROLL'!$F$41) *'3 ROLL'!$F$38,
IF(B54&lt;=16*'3 ROLL'!$F$41,'3 ROLL'!$F$37+ (B53-15*'3 ROLL'!$F$41) *'3 ROLL'!$F$38,
IF(B54&lt;=17*'3 ROLL'!$F$41,'3 ROLL'!$F$37+ (B53-16*'3 ROLL'!$F$41) *'3 ROLL'!$F$38,
IF(B54&lt;=18*'3 ROLL'!$F$41,'3 ROLL'!$F$37+ (B53-17*'3 ROLL'!$F$41) *'3 ROLL'!$F$38,
IF(B54&lt;=19*'3 ROLL'!$F$41,'3 ROLL'!$F$37+ (B53-18*'3 ROLL'!$F$41) *'3 ROLL'!$F$38,
IF(B54&lt;=20*'3 ROLL'!$F$41,'3 ROLL'!$F$37+ (B53-19*'3 ROLL'!$F$41) *'3 ROLL'!$F$38, ""
) ) ) ) ) ) ) ) ) ) ) ) ) ) ) ) ) ) ) )</f>
        <v>2.9</v>
      </c>
      <c r="D54" s="105"/>
      <c r="E54" s="111">
        <f>'3 ROLL'!$F$11*'3 ROLL'!$F$9*( ((1+'3 ROLL'!$F$12)^roll!B54 - 1) /'3 ROLL'!$F$12)</f>
        <v>47058122.99460347</v>
      </c>
      <c r="F54" s="111">
        <f>'3 ROLL'!$F$14*'3 ROLL'!$F$9*( ((1+'3 ROLL'!$F$15)^roll!B54 - 1) /'3 ROLL'!$F$15)</f>
        <v>941162459.89206946</v>
      </c>
      <c r="G54" s="111">
        <f>'3 ROLL'!$F$17*'3 ROLL'!$F$9*( ((1+'3 ROLL'!$F$18)^roll!B54 - 1) /'3 ROLL'!$F$18)</f>
        <v>141174.36898381042</v>
      </c>
      <c r="H54" s="111">
        <f>'3 ROLL'!$F$20*'3 ROLL'!$F$9*( ((1+'3 ROLL'!$F$21)^roll!B54 - 1) /'3 ROLL'!$F$21)</f>
        <v>94116.245989206946</v>
      </c>
      <c r="I54" s="109"/>
      <c r="J54" s="48">
        <f t="shared" si="9"/>
        <v>1.015727</v>
      </c>
      <c r="K54" s="48">
        <f>'3 ROLL'!$F$24*'3 ROLL'!$F$48*roll!J54</f>
        <v>0.66022255000000007</v>
      </c>
      <c r="L54" s="50">
        <f t="shared" si="2"/>
        <v>31068833.961710744</v>
      </c>
      <c r="M54" s="108"/>
      <c r="N54" s="48">
        <f t="shared" si="3"/>
        <v>1.206933</v>
      </c>
      <c r="O54" s="48">
        <f>'3 ROLL'!$F$27*'3 ROLL'!$F$49*roll!N54</f>
        <v>0.18828154799999999</v>
      </c>
      <c r="P54" s="50">
        <f t="shared" si="4"/>
        <v>177203524.86796674</v>
      </c>
      <c r="Q54" s="106"/>
      <c r="R54" s="48">
        <f t="shared" si="5"/>
        <v>1.206933</v>
      </c>
      <c r="S54" s="48">
        <f>'3 ROLL'!$F$30*'3 ROLL'!$F$49*roll!R54</f>
        <v>0.125521032</v>
      </c>
      <c r="T54" s="50">
        <f t="shared" si="6"/>
        <v>17720.352486796677</v>
      </c>
      <c r="U54" s="106"/>
      <c r="V54" s="48">
        <f t="shared" si="7"/>
        <v>1.206933</v>
      </c>
      <c r="W54" s="48">
        <f>'3 ROLL'!$F$33*'3 ROLL'!$F$50*roll!V54</f>
        <v>0</v>
      </c>
      <c r="X54" s="50">
        <f t="shared" si="8"/>
        <v>0</v>
      </c>
    </row>
    <row r="55" spans="2:24" ht="14.5" customHeight="1" x14ac:dyDescent="0.35">
      <c r="C55" s="94"/>
    </row>
    <row r="61" spans="2:24" ht="14.5" customHeight="1" x14ac:dyDescent="0.35">
      <c r="E61" s="110"/>
    </row>
  </sheetData>
  <mergeCells count="5">
    <mergeCell ref="E2:H2"/>
    <mergeCell ref="J2:L2"/>
    <mergeCell ref="N2:P2"/>
    <mergeCell ref="R2:T2"/>
    <mergeCell ref="V2:X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95FD-F6AD-4591-99E5-42DEDE9EB5CF}">
  <dimension ref="B1:AX29"/>
  <sheetViews>
    <sheetView zoomScale="40" zoomScaleNormal="40" workbookViewId="0"/>
  </sheetViews>
  <sheetFormatPr baseColWidth="10" defaultRowHeight="14.5" customHeight="1" x14ac:dyDescent="0.35"/>
  <cols>
    <col min="1" max="1" width="10.90625" style="2"/>
    <col min="2" max="2" width="20.6328125" style="2" customWidth="1"/>
    <col min="3" max="4" width="15.6328125" style="2" customWidth="1"/>
    <col min="5" max="5" width="10.90625" style="2"/>
    <col min="6" max="6" width="20.6328125" style="2" customWidth="1"/>
    <col min="7" max="7" width="15.6328125" style="2" customWidth="1"/>
    <col min="8" max="8" width="10.90625" style="4" customWidth="1"/>
    <col min="9" max="11" width="15.6328125" style="4" customWidth="1"/>
    <col min="12" max="12" width="10.90625" style="19" customWidth="1"/>
    <col min="13" max="15" width="15.6328125" style="19" customWidth="1"/>
    <col min="16" max="16" width="10.90625" style="19" customWidth="1"/>
    <col min="17" max="17" width="20.6328125" style="4" customWidth="1"/>
    <col min="18" max="20" width="15.6328125" style="4" customWidth="1"/>
    <col min="21" max="21" width="15.6328125" style="19" customWidth="1"/>
    <col min="22" max="22" width="20.6328125" style="19" customWidth="1"/>
    <col min="23" max="25" width="15.6328125" style="19" customWidth="1"/>
    <col min="26" max="26" width="10.90625" style="2"/>
    <col min="27" max="27" width="20.6328125" style="2" customWidth="1"/>
    <col min="28" max="28" width="15.6328125" style="2" customWidth="1"/>
    <col min="29" max="29" width="15.6328125" style="4" customWidth="1"/>
    <col min="30" max="30" width="15.6328125" style="2" customWidth="1"/>
    <col min="31" max="31" width="10.90625" style="59"/>
    <col min="32" max="34" width="15.6328125" style="59" customWidth="1"/>
    <col min="35" max="35" width="10.90625" style="59"/>
    <col min="36" max="38" width="15.6328125" style="59" customWidth="1"/>
    <col min="39" max="39" width="10.90625" style="59"/>
    <col min="40" max="42" width="15.6328125" style="59" customWidth="1"/>
    <col min="43" max="43" width="10.90625" style="97" customWidth="1"/>
    <col min="44" max="45" width="12.6328125" style="97" customWidth="1"/>
    <col min="46" max="46" width="10.90625" style="2"/>
    <col min="47" max="50" width="12.6328125" style="2" customWidth="1"/>
    <col min="51" max="16384" width="10.90625" style="2"/>
  </cols>
  <sheetData>
    <row r="1" spans="2:50" ht="14.5" customHeight="1" x14ac:dyDescent="0.35">
      <c r="AQ1" s="99"/>
    </row>
    <row r="2" spans="2:50" ht="14.5" customHeight="1" x14ac:dyDescent="0.35">
      <c r="B2" s="121" t="s">
        <v>339</v>
      </c>
      <c r="C2" s="121"/>
      <c r="D2" s="121"/>
      <c r="F2" s="121" t="s">
        <v>31</v>
      </c>
      <c r="G2" s="121"/>
      <c r="H2" s="8"/>
      <c r="I2" s="144" t="s">
        <v>189</v>
      </c>
      <c r="J2" s="146"/>
      <c r="K2" s="145"/>
      <c r="L2" s="8"/>
      <c r="M2" s="144" t="s">
        <v>342</v>
      </c>
      <c r="N2" s="146"/>
      <c r="O2" s="145"/>
      <c r="P2" s="8"/>
      <c r="Q2" s="144" t="s">
        <v>255</v>
      </c>
      <c r="R2" s="146"/>
      <c r="S2" s="146"/>
      <c r="T2" s="145"/>
      <c r="U2" s="8"/>
      <c r="V2" s="121" t="s">
        <v>384</v>
      </c>
      <c r="W2" s="121"/>
      <c r="X2" s="121"/>
      <c r="Y2" s="121"/>
      <c r="Z2" s="7"/>
      <c r="AA2" s="144" t="s">
        <v>639</v>
      </c>
      <c r="AB2" s="146"/>
      <c r="AC2" s="146"/>
      <c r="AD2" s="145"/>
      <c r="AF2" s="144" t="s">
        <v>499</v>
      </c>
      <c r="AG2" s="146"/>
      <c r="AH2" s="145"/>
      <c r="AJ2" s="144" t="s">
        <v>509</v>
      </c>
      <c r="AK2" s="146"/>
      <c r="AL2" s="145"/>
      <c r="AN2" s="121" t="s">
        <v>519</v>
      </c>
      <c r="AO2" s="121"/>
      <c r="AP2" s="121"/>
      <c r="AQ2" s="8"/>
      <c r="AR2" s="144" t="s">
        <v>465</v>
      </c>
      <c r="AS2" s="145"/>
      <c r="AU2" s="121" t="s">
        <v>453</v>
      </c>
      <c r="AV2" s="121"/>
      <c r="AW2" s="121"/>
      <c r="AX2" s="121"/>
    </row>
    <row r="3" spans="2:50" ht="14.5" customHeight="1" x14ac:dyDescent="0.35">
      <c r="B3" s="147" t="s">
        <v>32</v>
      </c>
      <c r="C3" s="5" t="s">
        <v>3</v>
      </c>
      <c r="D3" s="5" t="s">
        <v>4</v>
      </c>
      <c r="F3" s="147" t="s">
        <v>32</v>
      </c>
      <c r="G3" s="5" t="s">
        <v>37</v>
      </c>
      <c r="H3" s="5"/>
      <c r="I3" s="147" t="s">
        <v>32</v>
      </c>
      <c r="J3" s="5" t="s">
        <v>37</v>
      </c>
      <c r="K3" s="5" t="s">
        <v>190</v>
      </c>
      <c r="L3" s="23"/>
      <c r="M3" s="147" t="s">
        <v>32</v>
      </c>
      <c r="N3" s="23" t="s">
        <v>37</v>
      </c>
      <c r="O3" s="23" t="s">
        <v>349</v>
      </c>
      <c r="P3" s="23"/>
      <c r="Q3" s="147" t="s">
        <v>32</v>
      </c>
      <c r="R3" s="5" t="s">
        <v>37</v>
      </c>
      <c r="S3" s="5" t="s">
        <v>256</v>
      </c>
      <c r="T3" s="5" t="s">
        <v>138</v>
      </c>
      <c r="U3" s="23"/>
      <c r="V3" s="147" t="s">
        <v>32</v>
      </c>
      <c r="W3" s="23" t="s">
        <v>37</v>
      </c>
      <c r="X3" s="23" t="s">
        <v>138</v>
      </c>
      <c r="Y3" s="23" t="s">
        <v>394</v>
      </c>
      <c r="AA3" s="147" t="s">
        <v>32</v>
      </c>
      <c r="AB3" s="5" t="s">
        <v>138</v>
      </c>
      <c r="AC3" s="5" t="s">
        <v>395</v>
      </c>
      <c r="AD3" s="5" t="s">
        <v>143</v>
      </c>
      <c r="AF3" s="147" t="s">
        <v>32</v>
      </c>
      <c r="AG3" s="63" t="s">
        <v>81</v>
      </c>
      <c r="AH3" s="63" t="s">
        <v>143</v>
      </c>
      <c r="AJ3" s="147" t="s">
        <v>32</v>
      </c>
      <c r="AK3" s="63" t="s">
        <v>81</v>
      </c>
      <c r="AL3" s="63" t="s">
        <v>143</v>
      </c>
      <c r="AN3" s="147" t="s">
        <v>32</v>
      </c>
      <c r="AO3" s="63" t="s">
        <v>81</v>
      </c>
      <c r="AP3" s="63" t="s">
        <v>143</v>
      </c>
      <c r="AQ3" s="8"/>
      <c r="AR3" s="147" t="s">
        <v>32</v>
      </c>
      <c r="AS3" s="101" t="s">
        <v>454</v>
      </c>
      <c r="AU3" s="54" t="s">
        <v>458</v>
      </c>
      <c r="AV3" s="102" t="s">
        <v>451</v>
      </c>
      <c r="AW3" s="54" t="s">
        <v>454</v>
      </c>
      <c r="AX3" s="54" t="s">
        <v>454</v>
      </c>
    </row>
    <row r="4" spans="2:50" ht="14.5" customHeight="1" x14ac:dyDescent="0.35">
      <c r="B4" s="147"/>
      <c r="C4" s="5" t="s">
        <v>26</v>
      </c>
      <c r="D4" s="5" t="s">
        <v>26</v>
      </c>
      <c r="F4" s="147"/>
      <c r="G4" s="5" t="s">
        <v>38</v>
      </c>
      <c r="H4" s="5"/>
      <c r="I4" s="147"/>
      <c r="J4" s="5" t="s">
        <v>38</v>
      </c>
      <c r="K4" s="5" t="s">
        <v>153</v>
      </c>
      <c r="L4" s="23"/>
      <c r="M4" s="147"/>
      <c r="N4" s="23" t="s">
        <v>38</v>
      </c>
      <c r="O4" s="23" t="s">
        <v>0</v>
      </c>
      <c r="P4" s="23"/>
      <c r="Q4" s="147"/>
      <c r="R4" s="5" t="s">
        <v>38</v>
      </c>
      <c r="S4" s="5" t="s">
        <v>0</v>
      </c>
      <c r="T4" s="5" t="s">
        <v>131</v>
      </c>
      <c r="U4" s="23"/>
      <c r="V4" s="147"/>
      <c r="W4" s="23" t="s">
        <v>38</v>
      </c>
      <c r="X4" s="23" t="s">
        <v>131</v>
      </c>
      <c r="Y4" s="23" t="s">
        <v>153</v>
      </c>
      <c r="AA4" s="147"/>
      <c r="AB4" s="5" t="s">
        <v>131</v>
      </c>
      <c r="AC4" s="5" t="s">
        <v>153</v>
      </c>
      <c r="AD4" s="5" t="s">
        <v>144</v>
      </c>
      <c r="AF4" s="147"/>
      <c r="AG4" s="63" t="s">
        <v>501</v>
      </c>
      <c r="AH4" s="63" t="s">
        <v>504</v>
      </c>
      <c r="AJ4" s="147"/>
      <c r="AK4" s="63" t="s">
        <v>501</v>
      </c>
      <c r="AL4" s="63" t="s">
        <v>504</v>
      </c>
      <c r="AN4" s="147"/>
      <c r="AO4" s="63" t="s">
        <v>501</v>
      </c>
      <c r="AP4" s="63" t="s">
        <v>504</v>
      </c>
      <c r="AQ4" s="101"/>
      <c r="AR4" s="147"/>
      <c r="AS4" s="101" t="s">
        <v>476</v>
      </c>
      <c r="AU4" s="54" t="s">
        <v>450</v>
      </c>
      <c r="AV4" s="101" t="s">
        <v>70</v>
      </c>
      <c r="AW4" s="54" t="s">
        <v>131</v>
      </c>
      <c r="AX4" s="54" t="s">
        <v>452</v>
      </c>
    </row>
    <row r="5" spans="2:50" ht="14.5" customHeight="1" x14ac:dyDescent="0.35">
      <c r="B5" s="2" t="s">
        <v>27</v>
      </c>
      <c r="C5" s="2">
        <v>1840</v>
      </c>
      <c r="D5" s="2">
        <v>1480</v>
      </c>
      <c r="E5" s="17"/>
      <c r="F5" s="2" t="s">
        <v>33</v>
      </c>
      <c r="G5" s="2" t="s">
        <v>39</v>
      </c>
      <c r="I5" s="4" t="s">
        <v>191</v>
      </c>
      <c r="J5" s="29" t="s">
        <v>201</v>
      </c>
      <c r="K5" s="31" t="s">
        <v>196</v>
      </c>
      <c r="M5" s="19" t="s">
        <v>343</v>
      </c>
      <c r="N5" s="29" t="s">
        <v>346</v>
      </c>
      <c r="O5" s="31" t="s">
        <v>350</v>
      </c>
      <c r="Q5" s="4" t="s">
        <v>257</v>
      </c>
      <c r="R5" s="4" t="s">
        <v>263</v>
      </c>
      <c r="S5" s="31" t="s">
        <v>269</v>
      </c>
      <c r="T5" s="29" t="s">
        <v>275</v>
      </c>
      <c r="U5" s="29"/>
      <c r="V5" s="19" t="s">
        <v>385</v>
      </c>
      <c r="W5" s="19" t="s">
        <v>388</v>
      </c>
      <c r="X5" s="29" t="s">
        <v>392</v>
      </c>
      <c r="Y5" s="31" t="s">
        <v>399</v>
      </c>
      <c r="AA5" s="4" t="s">
        <v>135</v>
      </c>
      <c r="AB5" s="4" t="s">
        <v>139</v>
      </c>
      <c r="AC5" s="31" t="s">
        <v>154</v>
      </c>
      <c r="AD5" s="29" t="s">
        <v>147</v>
      </c>
      <c r="AF5" s="59" t="s">
        <v>500</v>
      </c>
      <c r="AG5" s="31" t="s">
        <v>502</v>
      </c>
      <c r="AH5" s="31" t="s">
        <v>505</v>
      </c>
      <c r="AJ5" s="59" t="s">
        <v>510</v>
      </c>
      <c r="AK5" s="31" t="s">
        <v>522</v>
      </c>
      <c r="AL5" s="31" t="s">
        <v>521</v>
      </c>
      <c r="AN5" s="59" t="s">
        <v>520</v>
      </c>
      <c r="AO5" s="31" t="s">
        <v>523</v>
      </c>
      <c r="AP5" s="31" t="s">
        <v>524</v>
      </c>
      <c r="AQ5" s="31"/>
      <c r="AR5" s="97" t="s">
        <v>471</v>
      </c>
      <c r="AS5" s="97">
        <v>2.3800000000000002E-2</v>
      </c>
      <c r="AU5" s="51">
        <v>60000</v>
      </c>
      <c r="AV5" s="2" t="s">
        <v>640</v>
      </c>
      <c r="AW5" s="2">
        <v>3400</v>
      </c>
      <c r="AX5" s="16">
        <f>AW5/$AU$5</f>
        <v>5.6666666666666664E-2</v>
      </c>
    </row>
    <row r="6" spans="2:50" ht="14.5" customHeight="1" x14ac:dyDescent="0.35">
      <c r="B6" s="2" t="s">
        <v>28</v>
      </c>
      <c r="C6" s="2">
        <v>2080</v>
      </c>
      <c r="D6" s="2">
        <v>1660</v>
      </c>
      <c r="E6" s="17"/>
      <c r="F6" s="2" t="s">
        <v>34</v>
      </c>
      <c r="G6" s="2" t="s">
        <v>40</v>
      </c>
      <c r="I6" s="4" t="s">
        <v>192</v>
      </c>
      <c r="J6" s="29" t="s">
        <v>202</v>
      </c>
      <c r="K6" s="31" t="s">
        <v>197</v>
      </c>
      <c r="M6" s="19" t="s">
        <v>344</v>
      </c>
      <c r="N6" s="29" t="s">
        <v>347</v>
      </c>
      <c r="O6" s="31" t="s">
        <v>351</v>
      </c>
      <c r="Q6" s="4" t="s">
        <v>262</v>
      </c>
      <c r="R6" s="4" t="s">
        <v>264</v>
      </c>
      <c r="S6" s="31" t="s">
        <v>270</v>
      </c>
      <c r="T6" s="29" t="s">
        <v>276</v>
      </c>
      <c r="U6" s="29"/>
      <c r="V6" s="19" t="s">
        <v>386</v>
      </c>
      <c r="W6" s="19" t="s">
        <v>390</v>
      </c>
      <c r="X6" s="29" t="s">
        <v>393</v>
      </c>
      <c r="Y6" s="31" t="s">
        <v>396</v>
      </c>
      <c r="AA6" s="4" t="s">
        <v>136</v>
      </c>
      <c r="AB6" s="4" t="s">
        <v>140</v>
      </c>
      <c r="AC6" s="31" t="s">
        <v>155</v>
      </c>
      <c r="AD6" s="29" t="s">
        <v>146</v>
      </c>
      <c r="AG6" s="31"/>
      <c r="AH6" s="29"/>
      <c r="AJ6" s="29"/>
      <c r="AK6" s="29"/>
      <c r="AL6" s="29"/>
      <c r="AR6" s="97" t="s">
        <v>475</v>
      </c>
      <c r="AS6" s="97">
        <v>2.9899999999999999E-2</v>
      </c>
      <c r="AU6" s="51"/>
      <c r="AV6" s="2" t="s">
        <v>641</v>
      </c>
      <c r="AW6" s="2">
        <v>2450</v>
      </c>
      <c r="AX6" s="16">
        <f>AW6/$AU$5</f>
        <v>4.0833333333333333E-2</v>
      </c>
    </row>
    <row r="7" spans="2:50" ht="14.5" customHeight="1" x14ac:dyDescent="0.35">
      <c r="B7" s="2" t="s">
        <v>2</v>
      </c>
      <c r="C7" s="2">
        <v>1660</v>
      </c>
      <c r="D7" s="2">
        <v>1420</v>
      </c>
      <c r="E7" s="17"/>
      <c r="F7" s="2" t="s">
        <v>44</v>
      </c>
      <c r="G7" s="2" t="s">
        <v>41</v>
      </c>
      <c r="I7" s="4" t="s">
        <v>193</v>
      </c>
      <c r="J7" s="29" t="s">
        <v>203</v>
      </c>
      <c r="K7" s="31" t="s">
        <v>198</v>
      </c>
      <c r="M7" s="19" t="s">
        <v>345</v>
      </c>
      <c r="N7" s="29" t="s">
        <v>348</v>
      </c>
      <c r="O7" s="31" t="s">
        <v>352</v>
      </c>
      <c r="Q7" s="4" t="s">
        <v>258</v>
      </c>
      <c r="R7" s="4" t="s">
        <v>265</v>
      </c>
      <c r="S7" s="31" t="s">
        <v>271</v>
      </c>
      <c r="T7" s="29" t="s">
        <v>277</v>
      </c>
      <c r="U7" s="29"/>
      <c r="V7" s="19" t="s">
        <v>387</v>
      </c>
      <c r="W7" s="19" t="s">
        <v>389</v>
      </c>
      <c r="X7" s="29" t="s">
        <v>391</v>
      </c>
      <c r="Y7" s="31" t="s">
        <v>397</v>
      </c>
      <c r="AA7" s="4" t="s">
        <v>137</v>
      </c>
      <c r="AB7" s="4" t="s">
        <v>141</v>
      </c>
      <c r="AC7" s="31" t="s">
        <v>156</v>
      </c>
      <c r="AD7" s="29" t="s">
        <v>145</v>
      </c>
      <c r="AG7" s="31"/>
      <c r="AH7" s="29"/>
      <c r="AJ7" s="29"/>
      <c r="AK7" s="29"/>
      <c r="AL7" s="29"/>
      <c r="AR7" s="97" t="s">
        <v>472</v>
      </c>
      <c r="AS7" s="97">
        <v>0.1055</v>
      </c>
    </row>
    <row r="8" spans="2:50" ht="14.5" customHeight="1" x14ac:dyDescent="0.35">
      <c r="B8" s="2" t="s">
        <v>5</v>
      </c>
      <c r="C8" s="2">
        <v>1840</v>
      </c>
      <c r="D8" s="2">
        <v>1540</v>
      </c>
      <c r="E8" s="17"/>
      <c r="F8" s="2" t="s">
        <v>35</v>
      </c>
      <c r="G8" s="2" t="s">
        <v>42</v>
      </c>
      <c r="I8" s="4" t="s">
        <v>194</v>
      </c>
      <c r="J8" s="29" t="s">
        <v>204</v>
      </c>
      <c r="K8" s="31" t="s">
        <v>199</v>
      </c>
      <c r="N8" s="29"/>
      <c r="O8" s="31"/>
      <c r="Q8" s="4" t="s">
        <v>259</v>
      </c>
      <c r="R8" s="4" t="s">
        <v>266</v>
      </c>
      <c r="S8" s="31" t="s">
        <v>272</v>
      </c>
      <c r="T8" s="29" t="s">
        <v>278</v>
      </c>
      <c r="U8" s="29"/>
      <c r="X8" s="29"/>
      <c r="Y8" s="29"/>
      <c r="AA8" s="4" t="s">
        <v>490</v>
      </c>
      <c r="AB8" s="4" t="s">
        <v>142</v>
      </c>
      <c r="AC8" s="31" t="s">
        <v>157</v>
      </c>
      <c r="AD8" s="29" t="s">
        <v>492</v>
      </c>
      <c r="AG8" s="31"/>
      <c r="AH8" s="29"/>
      <c r="AJ8" s="29"/>
      <c r="AK8" s="29"/>
      <c r="AL8" s="29"/>
      <c r="AR8" s="97" t="s">
        <v>473</v>
      </c>
      <c r="AS8" s="97">
        <v>2.7000000000000001E-3</v>
      </c>
    </row>
    <row r="9" spans="2:50" ht="14.5" customHeight="1" x14ac:dyDescent="0.35">
      <c r="B9" s="2" t="s">
        <v>6</v>
      </c>
      <c r="C9" s="2">
        <v>1900</v>
      </c>
      <c r="D9" s="2">
        <v>1510</v>
      </c>
      <c r="E9" s="17"/>
      <c r="F9" s="2" t="s">
        <v>36</v>
      </c>
      <c r="G9" s="2" t="s">
        <v>43</v>
      </c>
      <c r="I9" s="4" t="s">
        <v>195</v>
      </c>
      <c r="J9" s="29" t="s">
        <v>205</v>
      </c>
      <c r="K9" s="31" t="s">
        <v>200</v>
      </c>
      <c r="N9" s="29"/>
      <c r="O9" s="31"/>
      <c r="Q9" s="4" t="s">
        <v>260</v>
      </c>
      <c r="R9" s="4" t="s">
        <v>267</v>
      </c>
      <c r="S9" s="31" t="s">
        <v>273</v>
      </c>
      <c r="T9" s="29" t="s">
        <v>279</v>
      </c>
      <c r="U9" s="29"/>
      <c r="X9" s="29"/>
      <c r="Y9" s="29"/>
      <c r="AA9" s="4" t="s">
        <v>491</v>
      </c>
      <c r="AB9" s="4" t="s">
        <v>141</v>
      </c>
      <c r="AC9" s="31" t="s">
        <v>158</v>
      </c>
      <c r="AD9" s="29" t="s">
        <v>493</v>
      </c>
      <c r="AG9" s="31"/>
      <c r="AH9" s="29"/>
      <c r="AJ9" s="29"/>
      <c r="AK9" s="29"/>
      <c r="AL9" s="29"/>
      <c r="AR9" s="97" t="s">
        <v>474</v>
      </c>
      <c r="AS9" s="97">
        <v>2.3E-3</v>
      </c>
    </row>
    <row r="10" spans="2:50" ht="14.5" customHeight="1" x14ac:dyDescent="0.35">
      <c r="B10" s="2" t="s">
        <v>7</v>
      </c>
      <c r="C10" s="2">
        <v>1540</v>
      </c>
      <c r="D10" s="2">
        <v>1250</v>
      </c>
      <c r="E10" s="17"/>
      <c r="Q10" s="4" t="s">
        <v>261</v>
      </c>
      <c r="R10" s="4" t="s">
        <v>268</v>
      </c>
      <c r="S10" s="4" t="s">
        <v>274</v>
      </c>
      <c r="T10" s="4" t="s">
        <v>280</v>
      </c>
    </row>
    <row r="11" spans="2:50" ht="14.5" customHeight="1" x14ac:dyDescent="0.35">
      <c r="B11" s="2" t="s">
        <v>8</v>
      </c>
      <c r="C11" s="2">
        <v>2020</v>
      </c>
      <c r="D11" s="2">
        <v>1600</v>
      </c>
      <c r="E11" s="17"/>
    </row>
    <row r="12" spans="2:50" ht="14.5" customHeight="1" x14ac:dyDescent="0.35">
      <c r="B12" s="2" t="s">
        <v>9</v>
      </c>
      <c r="C12" s="2">
        <v>1540</v>
      </c>
      <c r="D12" s="2">
        <v>1245</v>
      </c>
      <c r="E12" s="17"/>
    </row>
    <row r="13" spans="2:50" ht="14.5" customHeight="1" x14ac:dyDescent="0.35">
      <c r="B13" s="2" t="s">
        <v>10</v>
      </c>
      <c r="C13" s="2">
        <v>2060</v>
      </c>
      <c r="D13" s="2">
        <v>1601</v>
      </c>
      <c r="E13" s="17"/>
    </row>
    <row r="14" spans="2:50" ht="14.5" customHeight="1" x14ac:dyDescent="0.35">
      <c r="B14" s="2" t="s">
        <v>11</v>
      </c>
      <c r="C14" s="2">
        <v>1690</v>
      </c>
      <c r="D14" s="2">
        <v>1510</v>
      </c>
      <c r="E14" s="17"/>
    </row>
    <row r="15" spans="2:50" ht="14.5" customHeight="1" x14ac:dyDescent="0.35">
      <c r="B15" s="2" t="s">
        <v>12</v>
      </c>
      <c r="C15" s="2">
        <v>1900</v>
      </c>
      <c r="D15" s="2">
        <v>1690</v>
      </c>
      <c r="E15" s="17"/>
      <c r="AA15" s="37"/>
    </row>
    <row r="16" spans="2:50" ht="14.5" customHeight="1" x14ac:dyDescent="0.35">
      <c r="B16" s="2" t="s">
        <v>13</v>
      </c>
      <c r="C16" s="2">
        <v>2260</v>
      </c>
      <c r="D16" s="2">
        <v>2020</v>
      </c>
      <c r="E16" s="17"/>
    </row>
    <row r="17" spans="2:5" ht="14.5" customHeight="1" x14ac:dyDescent="0.35">
      <c r="B17" s="2" t="s">
        <v>14</v>
      </c>
      <c r="C17" s="2">
        <v>1960</v>
      </c>
      <c r="D17" s="2">
        <v>1570</v>
      </c>
      <c r="E17" s="17"/>
    </row>
    <row r="18" spans="2:5" ht="14.5" customHeight="1" x14ac:dyDescent="0.35">
      <c r="B18" s="2" t="s">
        <v>15</v>
      </c>
      <c r="C18" s="2">
        <v>2280</v>
      </c>
      <c r="D18" s="2">
        <v>1720</v>
      </c>
      <c r="E18" s="17"/>
    </row>
    <row r="19" spans="2:5" ht="14.5" customHeight="1" x14ac:dyDescent="0.35">
      <c r="B19" s="2" t="s">
        <v>16</v>
      </c>
      <c r="C19" s="2">
        <v>2790</v>
      </c>
      <c r="D19" s="2">
        <v>1960</v>
      </c>
      <c r="E19" s="17"/>
    </row>
    <row r="20" spans="2:5" ht="14.5" customHeight="1" x14ac:dyDescent="0.35">
      <c r="B20" s="2" t="s">
        <v>17</v>
      </c>
      <c r="C20" s="2">
        <v>1900</v>
      </c>
      <c r="D20" s="2">
        <v>1690</v>
      </c>
      <c r="E20" s="17"/>
    </row>
    <row r="21" spans="2:5" ht="14.5" customHeight="1" x14ac:dyDescent="0.35">
      <c r="B21" s="2" t="s">
        <v>18</v>
      </c>
      <c r="C21" s="2">
        <v>1600</v>
      </c>
      <c r="D21" s="2">
        <v>1420</v>
      </c>
      <c r="E21" s="17"/>
    </row>
    <row r="22" spans="2:5" ht="14.5" customHeight="1" x14ac:dyDescent="0.35">
      <c r="B22" s="2" t="s">
        <v>19</v>
      </c>
      <c r="C22" s="2">
        <v>2080</v>
      </c>
      <c r="D22" s="2">
        <v>1840</v>
      </c>
      <c r="E22" s="17"/>
    </row>
    <row r="23" spans="2:5" ht="14.5" customHeight="1" x14ac:dyDescent="0.35">
      <c r="B23" s="2" t="s">
        <v>20</v>
      </c>
      <c r="C23" s="2">
        <v>2020</v>
      </c>
      <c r="D23" s="2">
        <v>1600</v>
      </c>
      <c r="E23" s="17"/>
    </row>
    <row r="24" spans="2:5" ht="14.5" customHeight="1" x14ac:dyDescent="0.35">
      <c r="B24" s="2" t="s">
        <v>21</v>
      </c>
      <c r="C24" s="2">
        <v>1930</v>
      </c>
      <c r="D24" s="2">
        <v>1720</v>
      </c>
      <c r="E24" s="17"/>
    </row>
    <row r="25" spans="2:5" ht="14.5" customHeight="1" x14ac:dyDescent="0.35">
      <c r="B25" s="2" t="s">
        <v>22</v>
      </c>
      <c r="C25" s="2">
        <v>2230</v>
      </c>
      <c r="D25" s="2">
        <v>2020</v>
      </c>
      <c r="E25" s="17"/>
    </row>
    <row r="26" spans="2:5" ht="14.5" customHeight="1" x14ac:dyDescent="0.35">
      <c r="B26" s="2" t="s">
        <v>23</v>
      </c>
      <c r="C26" s="2">
        <v>1850</v>
      </c>
      <c r="D26" s="2">
        <v>1646</v>
      </c>
      <c r="E26" s="17"/>
    </row>
    <row r="27" spans="2:5" ht="14.5" customHeight="1" x14ac:dyDescent="0.35">
      <c r="B27" s="2" t="s">
        <v>24</v>
      </c>
      <c r="C27" s="2">
        <v>1420</v>
      </c>
      <c r="D27" s="2">
        <v>1136</v>
      </c>
      <c r="E27" s="17"/>
    </row>
    <row r="28" spans="2:5" ht="14.5" customHeight="1" x14ac:dyDescent="0.35">
      <c r="B28" s="2" t="s">
        <v>25</v>
      </c>
      <c r="C28" s="2">
        <v>1370</v>
      </c>
      <c r="D28" s="2">
        <v>950</v>
      </c>
      <c r="E28" s="17"/>
    </row>
    <row r="29" spans="2:5" ht="14.5" customHeight="1" x14ac:dyDescent="0.35">
      <c r="B29" s="2" t="s">
        <v>370</v>
      </c>
      <c r="C29" s="2">
        <v>2200</v>
      </c>
      <c r="D29" s="2" t="s">
        <v>371</v>
      </c>
    </row>
  </sheetData>
  <mergeCells count="23">
    <mergeCell ref="B3:B4"/>
    <mergeCell ref="B2:D2"/>
    <mergeCell ref="F3:F4"/>
    <mergeCell ref="F2:G2"/>
    <mergeCell ref="AA3:AA4"/>
    <mergeCell ref="AA2:AD2"/>
    <mergeCell ref="I2:K2"/>
    <mergeCell ref="I3:I4"/>
    <mergeCell ref="Q2:T2"/>
    <mergeCell ref="Q3:Q4"/>
    <mergeCell ref="M2:O2"/>
    <mergeCell ref="M3:M4"/>
    <mergeCell ref="V3:V4"/>
    <mergeCell ref="V2:Y2"/>
    <mergeCell ref="AR2:AS2"/>
    <mergeCell ref="AU2:AX2"/>
    <mergeCell ref="AF2:AH2"/>
    <mergeCell ref="AF3:AF4"/>
    <mergeCell ref="AJ2:AL2"/>
    <mergeCell ref="AJ3:AJ4"/>
    <mergeCell ref="AN2:AP2"/>
    <mergeCell ref="AN3:AN4"/>
    <mergeCell ref="AR3:AR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16</vt:i4>
      </vt:variant>
    </vt:vector>
  </HeadingPairs>
  <TitlesOfParts>
    <vt:vector size="16" baseType="lpstr">
      <vt:lpstr>Leg</vt:lpstr>
      <vt:lpstr>RES</vt:lpstr>
      <vt:lpstr>1 PRD</vt:lpstr>
      <vt:lpstr>2 CUT</vt:lpstr>
      <vt:lpstr>2 FILL</vt:lpstr>
      <vt:lpstr>2 SBGR</vt:lpstr>
      <vt:lpstr>2 SBBS</vt:lpstr>
      <vt:lpstr>2 BASE</vt:lpstr>
      <vt:lpstr>2 BIND</vt:lpstr>
      <vt:lpstr>2 WEAR</vt:lpstr>
      <vt:lpstr>3 ROLL</vt:lpstr>
      <vt:lpstr>3 MNTN</vt:lpstr>
      <vt:lpstr>3 ALB</vt:lpstr>
      <vt:lpstr>3 LGT</vt:lpstr>
      <vt:lpstr>roll</vt:lpstr>
      <vt:lpstr>prms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Maria Barbieri</dc:creator>
  <cp:lastModifiedBy>Diego Maria Barbieri</cp:lastModifiedBy>
  <dcterms:created xsi:type="dcterms:W3CDTF">2019-08-27T10:28:50Z</dcterms:created>
  <dcterms:modified xsi:type="dcterms:W3CDTF">2020-07-25T18:30:22Z</dcterms:modified>
</cp:coreProperties>
</file>